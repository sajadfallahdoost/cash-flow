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mazyar/Downloads/"/>
    </mc:Choice>
  </mc:AlternateContent>
  <xr:revisionPtr revIDLastSave="0" documentId="13_ncr:1_{DD6C3E62-EA72-294D-9260-83FD7D6FA42B}" xr6:coauthVersionLast="47" xr6:coauthVersionMax="47" xr10:uidLastSave="{00000000-0000-0000-0000-000000000000}"/>
  <bookViews>
    <workbookView xWindow="0" yWindow="500" windowWidth="23260" windowHeight="12460" activeTab="3" xr2:uid="{00000000-000D-0000-FFFF-FFFF00000000}"/>
  </bookViews>
  <sheets>
    <sheet name="Operational Income (2)" sheetId="3" state="hidden" r:id="rId1"/>
    <sheet name="خروجی " sheetId="4" state="hidden" r:id="rId2"/>
    <sheet name="Operational Income" sheetId="2" state="hidden" r:id="rId3"/>
    <sheet name="Cash Flow" sheetId="1" r:id="rId4"/>
  </sheets>
  <definedNames>
    <definedName name="_xlnm.Print_Area" localSheetId="3">'Cash Flow'!$A$1:$L$44</definedName>
    <definedName name="_xlnm.Print_Area" localSheetId="2">'Operational Income'!$A$1:$N$11</definedName>
    <definedName name="_xlnm.Print_Area" localSheetId="0">'Operational Income (2)'!$A$1:$J$66</definedName>
    <definedName name="_xlnm.Print_Area" localSheetId="1">'خروجی '!$A$1:$V$14</definedName>
    <definedName name="_xlnm.Print_Titles" localSheetId="3">'Cash Flow'!$1:$3</definedName>
    <definedName name="_xlnm.Print_Titles" localSheetId="2">'Operational Income'!$1:$3</definedName>
    <definedName name="_xlnm.Print_Titles" localSheetId="0">'Operational Income (2)'!$1:$3</definedName>
    <definedName name="_xlnm.Print_Titles" localSheetId="1">'خروجی 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2" l="1"/>
  <c r="I5" i="2"/>
  <c r="G5" i="2"/>
  <c r="J42" i="1" l="1"/>
  <c r="L42" i="1"/>
  <c r="F42" i="1"/>
  <c r="G10" i="1"/>
  <c r="F24" i="1"/>
  <c r="F12" i="1"/>
  <c r="F10" i="1"/>
  <c r="J18" i="1"/>
  <c r="L18" i="1"/>
  <c r="H11" i="2" l="1"/>
  <c r="H8" i="2"/>
  <c r="H7" i="2"/>
  <c r="H6" i="2"/>
  <c r="L8" i="2"/>
  <c r="L7" i="2"/>
  <c r="L6" i="2"/>
  <c r="H10" i="2" l="1"/>
  <c r="H10" i="1" s="1"/>
  <c r="L10" i="2"/>
  <c r="K10" i="1" s="1"/>
  <c r="L11" i="2"/>
  <c r="E5" i="2" l="1"/>
  <c r="E11" i="2" s="1"/>
  <c r="D5" i="2"/>
  <c r="D7" i="2" s="1"/>
  <c r="F5" i="2"/>
  <c r="F8" i="2" s="1"/>
  <c r="L37" i="1"/>
  <c r="L36" i="1" s="1"/>
  <c r="J43" i="1"/>
  <c r="J36" i="1" s="1"/>
  <c r="I37" i="1"/>
  <c r="H43" i="1"/>
  <c r="G43" i="1"/>
  <c r="F37" i="1"/>
  <c r="V14" i="4"/>
  <c r="U14" i="4"/>
  <c r="T14" i="4"/>
  <c r="R14" i="4"/>
  <c r="Q14" i="4"/>
  <c r="O14" i="4"/>
  <c r="L28" i="1" s="1"/>
  <c r="N14" i="4"/>
  <c r="K28" i="1" s="1"/>
  <c r="M14" i="4"/>
  <c r="J28" i="1" s="1"/>
  <c r="L14" i="4"/>
  <c r="I28" i="1" s="1"/>
  <c r="K14" i="4"/>
  <c r="H28" i="1" s="1"/>
  <c r="J14" i="4"/>
  <c r="G28" i="1" s="1"/>
  <c r="I14" i="4"/>
  <c r="F28" i="1" s="1"/>
  <c r="H14" i="4"/>
  <c r="L30" i="1" s="1"/>
  <c r="G14" i="4"/>
  <c r="K30" i="1" s="1"/>
  <c r="F14" i="4"/>
  <c r="J30" i="1" s="1"/>
  <c r="E14" i="4"/>
  <c r="I30" i="1" s="1"/>
  <c r="D14" i="4"/>
  <c r="H30" i="1" s="1"/>
  <c r="C14" i="4"/>
  <c r="G30" i="1" s="1"/>
  <c r="I43" i="1"/>
  <c r="P13" i="4"/>
  <c r="P14" i="4" s="1"/>
  <c r="B6" i="4"/>
  <c r="B14" i="4" s="1"/>
  <c r="F30" i="1" s="1"/>
  <c r="L27" i="1" l="1"/>
  <c r="L26" i="1" s="1"/>
  <c r="K27" i="1"/>
  <c r="I27" i="1"/>
  <c r="S14" i="4"/>
  <c r="F43" i="1"/>
  <c r="H27" i="1"/>
  <c r="G27" i="1"/>
  <c r="J27" i="1"/>
  <c r="J26" i="1" s="1"/>
  <c r="E7" i="2"/>
  <c r="F6" i="2"/>
  <c r="F10" i="2" s="1"/>
  <c r="E6" i="2"/>
  <c r="E8" i="2"/>
  <c r="F11" i="2"/>
  <c r="D11" i="2"/>
  <c r="C5" i="2"/>
  <c r="J157" i="3"/>
  <c r="I157" i="3"/>
  <c r="H157" i="3"/>
  <c r="G157" i="3"/>
  <c r="F157" i="3"/>
  <c r="E157" i="3"/>
  <c r="D157" i="3"/>
  <c r="J154" i="3"/>
  <c r="I154" i="3"/>
  <c r="H154" i="3"/>
  <c r="G154" i="3"/>
  <c r="F154" i="3"/>
  <c r="E154" i="3"/>
  <c r="D154" i="3"/>
  <c r="J152" i="3"/>
  <c r="I152" i="3"/>
  <c r="H152" i="3"/>
  <c r="G152" i="3"/>
  <c r="F152" i="3"/>
  <c r="E152" i="3"/>
  <c r="D152" i="3"/>
  <c r="J150" i="3"/>
  <c r="I150" i="3"/>
  <c r="H150" i="3"/>
  <c r="G150" i="3"/>
  <c r="F150" i="3"/>
  <c r="E150" i="3"/>
  <c r="D150" i="3"/>
  <c r="J147" i="3"/>
  <c r="I147" i="3"/>
  <c r="H147" i="3"/>
  <c r="G147" i="3"/>
  <c r="F147" i="3"/>
  <c r="E147" i="3"/>
  <c r="D147" i="3"/>
  <c r="J145" i="3"/>
  <c r="I145" i="3"/>
  <c r="H145" i="3"/>
  <c r="G145" i="3"/>
  <c r="F145" i="3"/>
  <c r="E145" i="3"/>
  <c r="D145" i="3"/>
  <c r="J143" i="3"/>
  <c r="I143" i="3"/>
  <c r="H143" i="3"/>
  <c r="G143" i="3"/>
  <c r="F143" i="3"/>
  <c r="E143" i="3"/>
  <c r="D143" i="3"/>
  <c r="J140" i="3"/>
  <c r="I140" i="3"/>
  <c r="H140" i="3"/>
  <c r="G140" i="3"/>
  <c r="F140" i="3"/>
  <c r="E140" i="3"/>
  <c r="D140" i="3"/>
  <c r="J138" i="3"/>
  <c r="I138" i="3"/>
  <c r="H138" i="3"/>
  <c r="G138" i="3"/>
  <c r="F138" i="3"/>
  <c r="E138" i="3"/>
  <c r="D138" i="3"/>
  <c r="J136" i="3"/>
  <c r="I136" i="3"/>
  <c r="H136" i="3"/>
  <c r="G136" i="3"/>
  <c r="F136" i="3"/>
  <c r="E136" i="3"/>
  <c r="D136" i="3"/>
  <c r="J133" i="3"/>
  <c r="I133" i="3"/>
  <c r="H133" i="3"/>
  <c r="G133" i="3"/>
  <c r="F133" i="3"/>
  <c r="E133" i="3"/>
  <c r="D133" i="3"/>
  <c r="J131" i="3"/>
  <c r="I131" i="3"/>
  <c r="H131" i="3"/>
  <c r="G131" i="3"/>
  <c r="F131" i="3"/>
  <c r="E131" i="3"/>
  <c r="D131" i="3"/>
  <c r="J129" i="3"/>
  <c r="I129" i="3"/>
  <c r="H129" i="3"/>
  <c r="G129" i="3"/>
  <c r="F129" i="3"/>
  <c r="E129" i="3"/>
  <c r="D129" i="3"/>
  <c r="J126" i="3"/>
  <c r="I126" i="3"/>
  <c r="H126" i="3"/>
  <c r="G126" i="3"/>
  <c r="F126" i="3"/>
  <c r="E126" i="3"/>
  <c r="D126" i="3"/>
  <c r="J124" i="3"/>
  <c r="I124" i="3"/>
  <c r="H124" i="3"/>
  <c r="G124" i="3"/>
  <c r="F124" i="3"/>
  <c r="E124" i="3"/>
  <c r="D124" i="3"/>
  <c r="J122" i="3"/>
  <c r="I122" i="3"/>
  <c r="H122" i="3"/>
  <c r="G122" i="3"/>
  <c r="F122" i="3"/>
  <c r="E122" i="3"/>
  <c r="D122" i="3"/>
  <c r="J119" i="3"/>
  <c r="I119" i="3"/>
  <c r="H119" i="3"/>
  <c r="G119" i="3"/>
  <c r="F119" i="3"/>
  <c r="E119" i="3"/>
  <c r="D119" i="3"/>
  <c r="J117" i="3"/>
  <c r="I117" i="3"/>
  <c r="H117" i="3"/>
  <c r="G117" i="3"/>
  <c r="F117" i="3"/>
  <c r="E117" i="3"/>
  <c r="D117" i="3"/>
  <c r="J115" i="3"/>
  <c r="I115" i="3"/>
  <c r="H115" i="3"/>
  <c r="G115" i="3"/>
  <c r="F115" i="3"/>
  <c r="E115" i="3"/>
  <c r="D115" i="3"/>
  <c r="J112" i="3"/>
  <c r="I112" i="3"/>
  <c r="H112" i="3"/>
  <c r="G112" i="3"/>
  <c r="F112" i="3"/>
  <c r="E112" i="3"/>
  <c r="D112" i="3"/>
  <c r="J110" i="3"/>
  <c r="I110" i="3"/>
  <c r="H110" i="3"/>
  <c r="G110" i="3"/>
  <c r="F110" i="3"/>
  <c r="E110" i="3"/>
  <c r="D110" i="3"/>
  <c r="J108" i="3"/>
  <c r="I108" i="3"/>
  <c r="H108" i="3"/>
  <c r="G108" i="3"/>
  <c r="F108" i="3"/>
  <c r="E108" i="3"/>
  <c r="D108" i="3"/>
  <c r="J105" i="3"/>
  <c r="I105" i="3"/>
  <c r="H105" i="3"/>
  <c r="G105" i="3"/>
  <c r="F105" i="3"/>
  <c r="E105" i="3"/>
  <c r="D105" i="3"/>
  <c r="J103" i="3"/>
  <c r="I103" i="3"/>
  <c r="H103" i="3"/>
  <c r="G103" i="3"/>
  <c r="F103" i="3"/>
  <c r="E103" i="3"/>
  <c r="D103" i="3"/>
  <c r="J101" i="3"/>
  <c r="I101" i="3"/>
  <c r="H101" i="3"/>
  <c r="G101" i="3"/>
  <c r="F101" i="3"/>
  <c r="E101" i="3"/>
  <c r="D101" i="3"/>
  <c r="J98" i="3"/>
  <c r="I98" i="3"/>
  <c r="H98" i="3"/>
  <c r="G98" i="3"/>
  <c r="F98" i="3"/>
  <c r="E98" i="3"/>
  <c r="D98" i="3"/>
  <c r="J96" i="3"/>
  <c r="I96" i="3"/>
  <c r="H96" i="3"/>
  <c r="G96" i="3"/>
  <c r="F96" i="3"/>
  <c r="E96" i="3"/>
  <c r="D96" i="3"/>
  <c r="J94" i="3"/>
  <c r="I94" i="3"/>
  <c r="H94" i="3"/>
  <c r="G94" i="3"/>
  <c r="F94" i="3"/>
  <c r="E94" i="3"/>
  <c r="D94" i="3"/>
  <c r="J91" i="3"/>
  <c r="I91" i="3"/>
  <c r="H91" i="3"/>
  <c r="G91" i="3"/>
  <c r="F91" i="3"/>
  <c r="E91" i="3"/>
  <c r="D91" i="3"/>
  <c r="J89" i="3"/>
  <c r="I89" i="3"/>
  <c r="H89" i="3"/>
  <c r="G89" i="3"/>
  <c r="F89" i="3"/>
  <c r="E89" i="3"/>
  <c r="D89" i="3"/>
  <c r="J87" i="3"/>
  <c r="I87" i="3"/>
  <c r="H87" i="3"/>
  <c r="G87" i="3"/>
  <c r="F87" i="3"/>
  <c r="E87" i="3"/>
  <c r="D87" i="3"/>
  <c r="J84" i="3"/>
  <c r="I84" i="3"/>
  <c r="H84" i="3"/>
  <c r="G84" i="3"/>
  <c r="F84" i="3"/>
  <c r="E84" i="3"/>
  <c r="D84" i="3"/>
  <c r="J82" i="3"/>
  <c r="I82" i="3"/>
  <c r="H82" i="3"/>
  <c r="G82" i="3"/>
  <c r="F82" i="3"/>
  <c r="E82" i="3"/>
  <c r="D82" i="3"/>
  <c r="J80" i="3"/>
  <c r="I80" i="3"/>
  <c r="H80" i="3"/>
  <c r="G80" i="3"/>
  <c r="F80" i="3"/>
  <c r="E80" i="3"/>
  <c r="D80" i="3"/>
  <c r="J77" i="3"/>
  <c r="I77" i="3"/>
  <c r="H77" i="3"/>
  <c r="G77" i="3"/>
  <c r="F77" i="3"/>
  <c r="E77" i="3"/>
  <c r="D77" i="3"/>
  <c r="J75" i="3"/>
  <c r="I75" i="3"/>
  <c r="H75" i="3"/>
  <c r="G75" i="3"/>
  <c r="F75" i="3"/>
  <c r="E75" i="3"/>
  <c r="D75" i="3"/>
  <c r="J73" i="3"/>
  <c r="I73" i="3"/>
  <c r="H73" i="3"/>
  <c r="G73" i="3"/>
  <c r="F73" i="3"/>
  <c r="E73" i="3"/>
  <c r="D73" i="3"/>
  <c r="J70" i="3"/>
  <c r="I70" i="3"/>
  <c r="H70" i="3"/>
  <c r="G70" i="3"/>
  <c r="F70" i="3"/>
  <c r="E70" i="3"/>
  <c r="D70" i="3"/>
  <c r="J68" i="3"/>
  <c r="I68" i="3"/>
  <c r="H68" i="3"/>
  <c r="G68" i="3"/>
  <c r="F68" i="3"/>
  <c r="E68" i="3"/>
  <c r="D68" i="3"/>
  <c r="J66" i="3"/>
  <c r="I66" i="3"/>
  <c r="H66" i="3"/>
  <c r="G66" i="3"/>
  <c r="F66" i="3"/>
  <c r="E66" i="3"/>
  <c r="D66" i="3"/>
  <c r="J63" i="3"/>
  <c r="I63" i="3"/>
  <c r="H63" i="3"/>
  <c r="G63" i="3"/>
  <c r="F63" i="3"/>
  <c r="E63" i="3"/>
  <c r="D63" i="3"/>
  <c r="J62" i="3"/>
  <c r="I62" i="3"/>
  <c r="H62" i="3"/>
  <c r="G62" i="3"/>
  <c r="F62" i="3"/>
  <c r="E62" i="3"/>
  <c r="D62" i="3"/>
  <c r="J61" i="3"/>
  <c r="I61" i="3"/>
  <c r="H61" i="3"/>
  <c r="G61" i="3"/>
  <c r="F61" i="3"/>
  <c r="E61" i="3"/>
  <c r="D61" i="3"/>
  <c r="J59" i="3"/>
  <c r="I59" i="3"/>
  <c r="H59" i="3"/>
  <c r="G59" i="3"/>
  <c r="F59" i="3"/>
  <c r="E59" i="3"/>
  <c r="D59" i="3"/>
  <c r="J56" i="3"/>
  <c r="I56" i="3"/>
  <c r="H56" i="3"/>
  <c r="G56" i="3"/>
  <c r="F56" i="3"/>
  <c r="E56" i="3"/>
  <c r="D56" i="3"/>
  <c r="J54" i="3"/>
  <c r="I54" i="3"/>
  <c r="H54" i="3"/>
  <c r="G54" i="3"/>
  <c r="F54" i="3"/>
  <c r="E54" i="3"/>
  <c r="D54" i="3"/>
  <c r="J52" i="3"/>
  <c r="I52" i="3"/>
  <c r="H52" i="3"/>
  <c r="G52" i="3"/>
  <c r="E52" i="3"/>
  <c r="D52" i="3"/>
  <c r="J49" i="3"/>
  <c r="I49" i="3"/>
  <c r="H49" i="3"/>
  <c r="G49" i="3"/>
  <c r="E49" i="3"/>
  <c r="D49" i="3"/>
  <c r="J48" i="3"/>
  <c r="I48" i="3"/>
  <c r="H48" i="3"/>
  <c r="G48" i="3"/>
  <c r="E48" i="3"/>
  <c r="D48" i="3"/>
  <c r="J47" i="3"/>
  <c r="I47" i="3"/>
  <c r="H47" i="3"/>
  <c r="G47" i="3"/>
  <c r="E47" i="3"/>
  <c r="D47" i="3"/>
  <c r="F46" i="3"/>
  <c r="F48" i="3" s="1"/>
  <c r="J45" i="3"/>
  <c r="I45" i="3"/>
  <c r="H45" i="3"/>
  <c r="G45" i="3"/>
  <c r="F45" i="3"/>
  <c r="E45" i="3"/>
  <c r="D45" i="3"/>
  <c r="J42" i="3"/>
  <c r="I42" i="3"/>
  <c r="H42" i="3"/>
  <c r="G42" i="3"/>
  <c r="F42" i="3"/>
  <c r="E42" i="3"/>
  <c r="D42" i="3"/>
  <c r="J40" i="3"/>
  <c r="I40" i="3"/>
  <c r="H40" i="3"/>
  <c r="G40" i="3"/>
  <c r="F40" i="3"/>
  <c r="E40" i="3"/>
  <c r="D40" i="3"/>
  <c r="J38" i="3"/>
  <c r="I38" i="3"/>
  <c r="H38" i="3"/>
  <c r="G38" i="3"/>
  <c r="F38" i="3"/>
  <c r="E38" i="3"/>
  <c r="D38" i="3"/>
  <c r="J35" i="3"/>
  <c r="I35" i="3"/>
  <c r="H35" i="3"/>
  <c r="G35" i="3"/>
  <c r="F35" i="3"/>
  <c r="E35" i="3"/>
  <c r="D35" i="3"/>
  <c r="J34" i="3"/>
  <c r="I34" i="3"/>
  <c r="H34" i="3"/>
  <c r="G34" i="3"/>
  <c r="F34" i="3"/>
  <c r="E34" i="3"/>
  <c r="D34" i="3"/>
  <c r="J33" i="3"/>
  <c r="I33" i="3"/>
  <c r="H33" i="3"/>
  <c r="G33" i="3"/>
  <c r="F33" i="3"/>
  <c r="E33" i="3"/>
  <c r="D33" i="3"/>
  <c r="J31" i="3"/>
  <c r="I31" i="3"/>
  <c r="H31" i="3"/>
  <c r="G31" i="3"/>
  <c r="F31" i="3"/>
  <c r="E31" i="3"/>
  <c r="D31" i="3"/>
  <c r="J28" i="3"/>
  <c r="I28" i="3"/>
  <c r="H28" i="3"/>
  <c r="G28" i="3"/>
  <c r="F28" i="3"/>
  <c r="E28" i="3"/>
  <c r="D28" i="3"/>
  <c r="J26" i="3"/>
  <c r="I26" i="3"/>
  <c r="H26" i="3"/>
  <c r="G26" i="3"/>
  <c r="F26" i="3"/>
  <c r="E26" i="3"/>
  <c r="D26" i="3"/>
  <c r="J24" i="3"/>
  <c r="I24" i="3"/>
  <c r="H24" i="3"/>
  <c r="G24" i="3"/>
  <c r="F24" i="3"/>
  <c r="E24" i="3"/>
  <c r="D24" i="3"/>
  <c r="J21" i="3"/>
  <c r="I21" i="3"/>
  <c r="H21" i="3"/>
  <c r="G21" i="3"/>
  <c r="F21" i="3"/>
  <c r="E21" i="3"/>
  <c r="D21" i="3"/>
  <c r="J19" i="3"/>
  <c r="I19" i="3"/>
  <c r="H19" i="3"/>
  <c r="G19" i="3"/>
  <c r="F19" i="3"/>
  <c r="E19" i="3"/>
  <c r="D19" i="3"/>
  <c r="J17" i="3"/>
  <c r="I17" i="3"/>
  <c r="H17" i="3"/>
  <c r="G17" i="3"/>
  <c r="F17" i="3"/>
  <c r="E17" i="3"/>
  <c r="D17" i="3"/>
  <c r="J14" i="3"/>
  <c r="I14" i="3"/>
  <c r="H14" i="3"/>
  <c r="G14" i="3"/>
  <c r="F14" i="3"/>
  <c r="E14" i="3"/>
  <c r="D14" i="3"/>
  <c r="D13" i="3"/>
  <c r="J12" i="3"/>
  <c r="I12" i="3"/>
  <c r="I16" i="3" s="1"/>
  <c r="H12" i="3"/>
  <c r="H16" i="3" s="1"/>
  <c r="G12" i="3"/>
  <c r="G16" i="3" s="1"/>
  <c r="F12" i="3"/>
  <c r="F16" i="3" s="1"/>
  <c r="E12" i="3"/>
  <c r="E16" i="3" s="1"/>
  <c r="D12" i="3"/>
  <c r="J10" i="3"/>
  <c r="I10" i="3"/>
  <c r="H10" i="3"/>
  <c r="G10" i="3"/>
  <c r="F10" i="3"/>
  <c r="E10" i="3"/>
  <c r="J7" i="3"/>
  <c r="I7" i="3"/>
  <c r="H7" i="3"/>
  <c r="G7" i="3"/>
  <c r="F7" i="3"/>
  <c r="E7" i="3"/>
  <c r="J5" i="3"/>
  <c r="I5" i="3"/>
  <c r="H5" i="3"/>
  <c r="G5" i="3"/>
  <c r="F5" i="3"/>
  <c r="E5" i="3"/>
  <c r="D4" i="3"/>
  <c r="G93" i="3" l="1"/>
  <c r="J100" i="3"/>
  <c r="E107" i="3"/>
  <c r="F44" i="3"/>
  <c r="I58" i="3"/>
  <c r="I93" i="3"/>
  <c r="G107" i="3"/>
  <c r="D100" i="3"/>
  <c r="J114" i="3"/>
  <c r="J9" i="3"/>
  <c r="H114" i="3"/>
  <c r="G23" i="3"/>
  <c r="I107" i="3"/>
  <c r="I9" i="3"/>
  <c r="I30" i="3"/>
  <c r="D79" i="3"/>
  <c r="I128" i="3"/>
  <c r="D135" i="3"/>
  <c r="J149" i="3"/>
  <c r="H9" i="3"/>
  <c r="E58" i="3"/>
  <c r="G79" i="3"/>
  <c r="E93" i="3"/>
  <c r="F114" i="3"/>
  <c r="E30" i="3"/>
  <c r="D44" i="3"/>
  <c r="G51" i="3"/>
  <c r="I51" i="3"/>
  <c r="J16" i="3"/>
  <c r="H51" i="3"/>
  <c r="E44" i="3"/>
  <c r="E72" i="3"/>
  <c r="H79" i="3"/>
  <c r="E128" i="3"/>
  <c r="H135" i="3"/>
  <c r="I156" i="3"/>
  <c r="H107" i="3"/>
  <c r="G86" i="3"/>
  <c r="I23" i="3"/>
  <c r="D58" i="3"/>
  <c r="H65" i="3"/>
  <c r="D72" i="3"/>
  <c r="I86" i="3"/>
  <c r="I142" i="3"/>
  <c r="G156" i="3"/>
  <c r="E9" i="3"/>
  <c r="G114" i="3"/>
  <c r="D142" i="3"/>
  <c r="E86" i="3"/>
  <c r="J135" i="3"/>
  <c r="E142" i="3"/>
  <c r="D30" i="3"/>
  <c r="G37" i="3"/>
  <c r="J72" i="3"/>
  <c r="J93" i="3"/>
  <c r="E100" i="3"/>
  <c r="D114" i="3"/>
  <c r="F142" i="3"/>
  <c r="G142" i="3"/>
  <c r="I149" i="3"/>
  <c r="D156" i="3"/>
  <c r="F37" i="3"/>
  <c r="D16" i="3"/>
  <c r="G65" i="3"/>
  <c r="I65" i="3"/>
  <c r="D23" i="3"/>
  <c r="F58" i="3"/>
  <c r="J86" i="3"/>
  <c r="G100" i="3"/>
  <c r="J107" i="3"/>
  <c r="E114" i="3"/>
  <c r="G121" i="3"/>
  <c r="J128" i="3"/>
  <c r="E135" i="3"/>
  <c r="H142" i="3"/>
  <c r="F156" i="3"/>
  <c r="F23" i="3"/>
  <c r="H30" i="3"/>
  <c r="H58" i="3"/>
  <c r="F72" i="3"/>
  <c r="I79" i="3"/>
  <c r="F93" i="3"/>
  <c r="D107" i="3"/>
  <c r="I121" i="3"/>
  <c r="G135" i="3"/>
  <c r="E149" i="3"/>
  <c r="J30" i="3"/>
  <c r="I44" i="3"/>
  <c r="H93" i="3"/>
  <c r="F128" i="3"/>
  <c r="I135" i="3"/>
  <c r="G149" i="3"/>
  <c r="J156" i="3"/>
  <c r="E37" i="3"/>
  <c r="F9" i="3"/>
  <c r="G9" i="3"/>
  <c r="J65" i="3"/>
  <c r="F79" i="3"/>
  <c r="F86" i="3"/>
  <c r="I100" i="3"/>
  <c r="E121" i="3"/>
  <c r="G128" i="3"/>
  <c r="J142" i="3"/>
  <c r="E156" i="3"/>
  <c r="F121" i="3"/>
  <c r="G72" i="3"/>
  <c r="H86" i="3"/>
  <c r="E23" i="3"/>
  <c r="J44" i="3"/>
  <c r="J58" i="3"/>
  <c r="F107" i="3"/>
  <c r="H121" i="3"/>
  <c r="F149" i="3"/>
  <c r="H37" i="3"/>
  <c r="I37" i="3"/>
  <c r="D51" i="3"/>
  <c r="I72" i="3"/>
  <c r="J79" i="3"/>
  <c r="D86" i="3"/>
  <c r="F100" i="3"/>
  <c r="I114" i="3"/>
  <c r="J121" i="3"/>
  <c r="D128" i="3"/>
  <c r="F135" i="3"/>
  <c r="H149" i="3"/>
  <c r="H23" i="3"/>
  <c r="E51" i="3"/>
  <c r="F65" i="3"/>
  <c r="J37" i="3"/>
  <c r="E79" i="3"/>
  <c r="F30" i="3"/>
  <c r="D37" i="3"/>
  <c r="H72" i="3"/>
  <c r="H100" i="3"/>
  <c r="H128" i="3"/>
  <c r="H156" i="3"/>
  <c r="J23" i="3"/>
  <c r="G30" i="3"/>
  <c r="J51" i="3"/>
  <c r="D93" i="3"/>
  <c r="D121" i="3"/>
  <c r="D149" i="3"/>
  <c r="D65" i="3"/>
  <c r="G44" i="3"/>
  <c r="F52" i="3"/>
  <c r="G58" i="3"/>
  <c r="E65" i="3"/>
  <c r="H44" i="3"/>
  <c r="E10" i="2"/>
  <c r="D8" i="2"/>
  <c r="D6" i="2"/>
  <c r="D5" i="3"/>
  <c r="F47" i="3"/>
  <c r="D10" i="3"/>
  <c r="D7" i="3"/>
  <c r="F49" i="3"/>
  <c r="F51" i="3" l="1"/>
  <c r="D9" i="3"/>
  <c r="D10" i="2"/>
  <c r="G6" i="2"/>
  <c r="I6" i="2"/>
  <c r="J6" i="2"/>
  <c r="K6" i="2"/>
  <c r="M6" i="2"/>
  <c r="N6" i="2"/>
  <c r="G8" i="2"/>
  <c r="I8" i="2"/>
  <c r="J8" i="2"/>
  <c r="K8" i="2"/>
  <c r="M8" i="2"/>
  <c r="N8" i="2"/>
  <c r="G11" i="2"/>
  <c r="G24" i="1" s="1"/>
  <c r="I11" i="2"/>
  <c r="H24" i="1" s="1"/>
  <c r="J11" i="2"/>
  <c r="I24" i="1" s="1"/>
  <c r="K11" i="2"/>
  <c r="M11" i="2"/>
  <c r="K24" i="1" s="1"/>
  <c r="N11" i="2"/>
  <c r="C11" i="2"/>
  <c r="C8" i="2"/>
  <c r="C6" i="2"/>
  <c r="K18" i="1" l="1"/>
  <c r="K42" i="1"/>
  <c r="K36" i="1" s="1"/>
  <c r="K26" i="1" s="1"/>
  <c r="I42" i="1"/>
  <c r="I36" i="1" s="1"/>
  <c r="I26" i="1" s="1"/>
  <c r="I18" i="1"/>
  <c r="H18" i="1"/>
  <c r="H42" i="1"/>
  <c r="H36" i="1" s="1"/>
  <c r="H26" i="1" s="1"/>
  <c r="G18" i="1"/>
  <c r="G42" i="1"/>
  <c r="G36" i="1" s="1"/>
  <c r="G26" i="1" s="1"/>
  <c r="N10" i="2"/>
  <c r="L12" i="1" s="1"/>
  <c r="L7" i="1" s="1"/>
  <c r="L6" i="1" s="1"/>
  <c r="M10" i="2"/>
  <c r="K10" i="2"/>
  <c r="J12" i="1" s="1"/>
  <c r="J7" i="1" s="1"/>
  <c r="J6" i="1" s="1"/>
  <c r="J10" i="2"/>
  <c r="I10" i="2"/>
  <c r="H12" i="1" s="1"/>
  <c r="G10" i="2"/>
  <c r="C10" i="2"/>
  <c r="F7" i="1" s="1"/>
  <c r="K12" i="1" l="1"/>
  <c r="K7" i="1" s="1"/>
  <c r="K6" i="1" s="1"/>
  <c r="I12" i="1"/>
  <c r="I7" i="1" s="1"/>
  <c r="I6" i="1" s="1"/>
  <c r="G12" i="1"/>
  <c r="G7" i="1" s="1"/>
  <c r="G6" i="1" s="1"/>
  <c r="V11" i="1"/>
  <c r="H7" i="1"/>
  <c r="H6" i="1" s="1"/>
  <c r="F36" i="1"/>
  <c r="F27" i="1"/>
  <c r="F18" i="1"/>
  <c r="F6" i="1" s="1"/>
  <c r="F26" i="1" l="1"/>
  <c r="F4" i="1" s="1"/>
  <c r="G5" i="1" l="1"/>
  <c r="G4" i="1" l="1"/>
  <c r="H5" i="1" s="1"/>
  <c r="H4" i="1" s="1"/>
  <c r="I5" i="1" s="1"/>
  <c r="I4" i="1" l="1"/>
  <c r="J5" i="1" s="1"/>
  <c r="J4" i="1" l="1"/>
  <c r="K5" i="1" s="1"/>
  <c r="K4" i="1" l="1"/>
  <c r="L5" i="1" s="1"/>
  <c r="L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Ebrahimi</author>
  </authors>
  <commentList>
    <comment ref="C4" authorId="0" shapeId="0" xr:uid="{5CA4F917-BE95-4DB8-8E2C-BF3800624A9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F4" authorId="0" shapeId="0" xr:uid="{7A3F53DA-F6FC-4C19-89A6-5A60F7C12E2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آبادان</t>
        </r>
      </text>
    </comment>
    <comment ref="I4" authorId="0" shapeId="0" xr:uid="{0970EB49-B8E5-46B4-9D3C-9857518B34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صومعه سرا</t>
        </r>
      </text>
    </comment>
    <comment ref="L4" authorId="0" shapeId="0" xr:uid="{08F7630C-45D2-4BDA-B055-2E9B181822C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صومعهسرا</t>
        </r>
      </text>
    </comment>
    <comment ref="P4" authorId="0" shapeId="0" xr:uid="{D16F3ED0-0F2D-44AA-8D3A-E7F5CC1C69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بهمن دفترمرکزی</t>
        </r>
      </text>
    </comment>
    <comment ref="S4" authorId="0" shapeId="0" xr:uid="{E3D8B2A6-299A-491E-8738-C1B2F073C51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حقوق اسفند دفترمرکزی</t>
        </r>
      </text>
    </comment>
    <comment ref="B5" authorId="0" shapeId="0" xr:uid="{D1ED8EF5-4459-4A7D-8FE3-22548088E9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آبادان</t>
        </r>
      </text>
    </comment>
    <comment ref="E5" authorId="0" shapeId="0" xr:uid="{60448EBB-7389-4938-8A54-AA9ABC36AFF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ماه آبادان</t>
        </r>
      </text>
    </comment>
    <comment ref="H5" authorId="0" shapeId="0" xr:uid="{9C5AFD9E-4F7B-4727-9AF5-E1510C1C59C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ماه آبادان</t>
        </r>
      </text>
    </comment>
    <comment ref="I5" authorId="0" shapeId="0" xr:uid="{A3967563-B2EB-4F78-80D8-6262E874B6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صومعه سرا</t>
        </r>
      </text>
    </comment>
    <comment ref="L5" authorId="0" shapeId="0" xr:uid="{1F4C84B7-7567-42A1-96DE-8C268FFED5E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بمهن ماه صومعه سرا</t>
        </r>
      </text>
    </comment>
    <comment ref="O5" authorId="0" shapeId="0" xr:uid="{D8D5AE13-4B1F-45A6-A5EF-CF16C2EA57D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بینه اسفند صومعه سرا</t>
        </r>
      </text>
    </comment>
    <comment ref="P5" authorId="0" shapeId="0" xr:uid="{EA45CC02-F6A0-48A8-BB2B-011E70656AD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دی ماه دفتر مرکزی</t>
        </r>
      </text>
    </comment>
    <comment ref="S5" authorId="0" shapeId="0" xr:uid="{BB3B4A2E-BF64-425D-B148-A625B018E40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بهمن دفترمرکزی</t>
        </r>
      </text>
    </comment>
    <comment ref="V5" authorId="0" shapeId="0" xr:uid="{6DFDAA3B-0EEC-4B18-8EAE-9551F641340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بیمه اسفند دفترمرکزی</t>
        </r>
      </text>
    </comment>
    <comment ref="B6" authorId="0" shapeId="0" xr:uid="{FFEC4D5C-FD22-4D49-A9D4-C345F5A0F82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نقدی ارزش افزوده و مالیات دی ماه آبادان</t>
        </r>
      </text>
    </comment>
    <comment ref="C6" authorId="0" shapeId="0" xr:uid="{0072AA89-50DE-4525-9D13-F3A18EF2276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چک 1اسفند</t>
        </r>
      </text>
    </comment>
    <comment ref="E6" authorId="0" shapeId="0" xr:uid="{29B70B4B-4560-4671-AB12-FB3D48731DA6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آبادان</t>
        </r>
      </text>
    </comment>
    <comment ref="H6" authorId="0" shapeId="0" xr:uid="{0347A94B-6450-4E07-B833-7C4260C72AF5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و عیدی آبادان</t>
        </r>
      </text>
    </comment>
    <comment ref="I6" authorId="0" shapeId="0" xr:uid="{D266C6A8-19DB-4244-A07A-C932F09D545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صومعه سرا</t>
        </r>
      </text>
    </comment>
    <comment ref="L6" authorId="0" shapeId="0" xr:uid="{C3AEA3A2-F7F2-4C69-A01F-68DC68EB0470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صومعه سرا</t>
        </r>
      </text>
    </comment>
    <comment ref="O6" authorId="0" shapeId="0" xr:uid="{EBABEE75-0FDF-4CFC-91A8-09367F6AB6F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صومعه سرا</t>
        </r>
      </text>
    </comment>
    <comment ref="P6" authorId="0" shapeId="0" xr:uid="{26EDEE2E-3DAF-4976-B64C-35F5C2786B0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دی ماه دفترمرکزی</t>
        </r>
      </text>
    </comment>
    <comment ref="S6" authorId="0" shapeId="0" xr:uid="{7899D077-3B5A-4AD1-9A57-E155FCE2F82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بهمن ماه دفترمرکزی</t>
        </r>
      </text>
    </comment>
    <comment ref="V6" authorId="0" shapeId="0" xr:uid="{FBB86934-D447-4F9E-9425-85D7417E2F3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اسفند ماه دفترمرکزی</t>
        </r>
      </text>
    </comment>
    <comment ref="B7" authorId="0" shapeId="0" xr:uid="{194E4B5C-3F0A-472D-922C-0EF61E6F58D9}">
      <text>
        <r>
          <rPr>
            <b/>
            <sz val="9"/>
            <color indexed="81"/>
            <rFont val="Tahoma"/>
            <family val="2"/>
          </rPr>
          <t>Amir Ebمالیات برج 9و8و7و4</t>
        </r>
      </text>
    </comment>
    <comment ref="I7" authorId="0" shapeId="0" xr:uid="{73F40B04-76EA-4E0B-B129-A2D6686EBDA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برج9و 4</t>
        </r>
      </text>
    </comment>
    <comment ref="P7" authorId="0" shapeId="0" xr:uid="{C752F15B-840D-4469-B398-D4C6170A13F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مالیات معوق برج 9و8و7و4</t>
        </r>
      </text>
    </comment>
    <comment ref="C9" authorId="0" shapeId="0" xr:uid="{9CF7E1EA-7ED0-4B03-9582-BD766E32438C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خوابگاه بادان و واحد101</t>
        </r>
      </text>
    </comment>
    <comment ref="F9" authorId="0" shapeId="0" xr:uid="{F8EC56B5-7819-4BA1-8641-D293F0F2CFD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خوابگاه بادان و واحد101</t>
        </r>
      </text>
    </comment>
    <comment ref="J9" authorId="0" shapeId="0" xr:uid="{B6B1A77E-1065-4695-A68A-8414682F6F8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واحد73</t>
        </r>
      </text>
    </comment>
    <comment ref="M9" authorId="0" shapeId="0" xr:uid="{EFD611FB-BFDD-454D-8009-CD20D17FD00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واحد73</t>
        </r>
      </text>
    </comment>
    <comment ref="Q9" authorId="0" shapeId="0" xr:uid="{8DBFD9A5-9A73-4CFD-9A04-BF68EE027AEF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بهمن واحد52
</t>
        </r>
      </text>
    </comment>
    <comment ref="T9" authorId="0" shapeId="0" xr:uid="{17E2EC3A-132D-42F4-BB8A-3A988D7908A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اجاره اسفند واحد52
</t>
        </r>
      </text>
    </comment>
    <comment ref="C10" authorId="0" shapeId="0" xr:uid="{B577E6A3-A3C1-4771-A508-D8A1587B9C31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هدایااسفند</t>
        </r>
      </text>
    </comment>
    <comment ref="D10" authorId="0" shapeId="0" xr:uid="{1F694B1D-1E3E-4CAB-AAB2-1E7508789E47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هدایا اسفند</t>
        </r>
      </text>
    </comment>
    <comment ref="D11" authorId="0" shapeId="0" xr:uid="{D33FF91D-2476-4C5B-B18C-808AD57D6A7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آبادان</t>
        </r>
      </text>
    </comment>
    <comment ref="I11" authorId="0" shapeId="0" xr:uid="{02C99E40-8213-4950-925D-DB3661885F9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صومعه سرا</t>
        </r>
      </text>
    </comment>
    <comment ref="P11" authorId="0" shapeId="0" xr:uid="{103CAC23-E178-4132-B04A-2D890655125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عیدی دفترمرکزی</t>
        </r>
      </text>
    </comment>
    <comment ref="B12" authorId="0" shapeId="0" xr:uid="{BAB12351-16C5-4873-BBCD-3D7B0297F1F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آبادان</t>
        </r>
      </text>
    </comment>
    <comment ref="C12" authorId="0" shapeId="0" xr:uid="{B0575FA0-9A7B-4062-9576-C7FA9128FC19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آبادان
</t>
        </r>
      </text>
    </comment>
    <comment ref="D12" authorId="0" shapeId="0" xr:uid="{2AB1181A-BEC4-4F1E-A7C6-D826A95BC9D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E12" authorId="0" shapeId="0" xr:uid="{82FC7679-C809-420D-AB48-3F1C4E5AF03D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F12" authorId="0" shapeId="0" xr:uid="{F500EBC8-3FC4-4EDF-A36A-8640157D4D04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H12" authorId="0" shapeId="0" xr:uid="{4E502478-2444-4F6A-A11A-C36616A4E37B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اسفندآبادان</t>
        </r>
      </text>
    </comment>
    <comment ref="P12" authorId="0" shapeId="0" xr:uid="{428F974F-A54B-4B43-AD16-A08ABB2706E8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بهمن تهران</t>
        </r>
      </text>
    </comment>
    <comment ref="R12" authorId="0" shapeId="0" xr:uid="{B71C2837-ED0D-4D91-8A48-01C9777625DA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تنخواه اسفند تهران</t>
        </r>
      </text>
    </comment>
    <comment ref="D13" authorId="0" shapeId="0" xr:uid="{A852E43D-405D-404A-AB45-322B4D959BC3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خرید 3خودرو</t>
        </r>
      </text>
    </comment>
    <comment ref="P13" authorId="0" shapeId="0" xr:uid="{144F796C-5660-4FBB-BC0A-98DFDE91908E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دی ماه و پاداش</t>
        </r>
      </text>
    </comment>
    <comment ref="S13" authorId="0" shapeId="0" xr:uid="{ADF1AE01-61B3-49CD-82DC-E1E193884482}">
      <text>
        <r>
          <rPr>
            <b/>
            <sz val="9"/>
            <color indexed="81"/>
            <rFont val="Tahoma"/>
            <family val="2"/>
          </rPr>
          <t>Amir Ebrahimi:</t>
        </r>
        <r>
          <rPr>
            <sz val="9"/>
            <color indexed="81"/>
            <rFont val="Tahoma"/>
            <family val="2"/>
          </rPr>
          <t xml:space="preserve">
حق بن بهمن ماه و پاداش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Mohammad Rafei</author>
  </authors>
  <commentList>
    <comment ref="C5" authorId="0" shapeId="0" xr:uid="{CE45A189-9EDD-433E-B73F-25C7C4BFF365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3+صورت وضعیت 11</t>
        </r>
      </text>
    </comment>
    <comment ref="D5" authorId="0" shapeId="0" xr:uid="{0F642621-C102-45F7-98D9-BDB81A3434B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7 تا 11 مهندسی تفصیلی</t>
        </r>
      </text>
    </comment>
    <comment ref="E5" authorId="0" shapeId="0" xr:uid="{11CEA862-8DF5-495B-A914-6056A58963F6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های 12 تا 14
مهندسی تفصیلی</t>
        </r>
      </text>
    </comment>
    <comment ref="F5" authorId="0" shapeId="0" xr:uid="{927FE486-BFF3-42A4-AFC4-26670F81427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 خرید</t>
        </r>
      </text>
    </comment>
    <comment ref="G5" authorId="0" shapeId="0" xr:uid="{479B1F95-72FE-41FB-9BB3-2009B4A31CD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4+ تعدیل 5 + صورت وضعیت 12</t>
        </r>
      </text>
    </comment>
    <comment ref="H5" authorId="0" shapeId="0" xr:uid="{EB0966B1-04DC-4A5D-9A9B-B0F9D5ED65E4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15 
مهندسی تفصیلی</t>
        </r>
      </text>
    </comment>
    <comment ref="I5" authorId="0" shapeId="0" xr:uid="{AC9335DC-852F-4CD8-936C-AA1B7E569408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6
صورت وضعیت 13
</t>
        </r>
      </text>
    </comment>
    <comment ref="J5" authorId="0" shapeId="0" xr:uid="{75B32B7C-0EF0-48C1-92E4-741B97796B2A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تعدیل 7
</t>
        </r>
      </text>
    </comment>
    <comment ref="L5" authorId="0" shapeId="0" xr:uid="{604A7B8B-6A19-47B1-80A0-8F6A8A4E7E57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  صورت وضعیت 16 مهندسی تفصیلی (پیش بینی)
</t>
        </r>
      </text>
    </comment>
    <comment ref="M5" authorId="0" shapeId="0" xr:uid="{DADD90F4-2326-44EB-A85A-CE621786E070}">
      <text>
        <r>
          <rPr>
            <b/>
            <sz val="9"/>
            <color indexed="81"/>
            <rFont val="Tahoma"/>
            <family val="2"/>
          </rPr>
          <t>Mohammad Rafei:</t>
        </r>
        <r>
          <rPr>
            <sz val="9"/>
            <color indexed="81"/>
            <rFont val="Tahoma"/>
            <family val="2"/>
          </rPr>
          <t xml:space="preserve">
صورت وضعیت 14
</t>
        </r>
      </text>
    </comment>
  </commentList>
</comments>
</file>

<file path=xl/sharedStrings.xml><?xml version="1.0" encoding="utf-8"?>
<sst xmlns="http://schemas.openxmlformats.org/spreadsheetml/2006/main" count="306" uniqueCount="117">
  <si>
    <t>ردیف</t>
  </si>
  <si>
    <t>شرح</t>
  </si>
  <si>
    <t>ورودی عملیاتی</t>
  </si>
  <si>
    <t>سود سپرده</t>
  </si>
  <si>
    <t>جریان های نقدی ورودی</t>
  </si>
  <si>
    <t>ورودی غیرعملیاتی</t>
  </si>
  <si>
    <t>فروش دارایی ها</t>
  </si>
  <si>
    <t>جریان های نقدی خروجی</t>
  </si>
  <si>
    <t>2.1.1</t>
  </si>
  <si>
    <t>2.1.2</t>
  </si>
  <si>
    <t>2.1.3</t>
  </si>
  <si>
    <t>2.2.1</t>
  </si>
  <si>
    <t>2.2.2</t>
  </si>
  <si>
    <t>2.2.3</t>
  </si>
  <si>
    <t>ماه 4</t>
  </si>
  <si>
    <t>ماه 5</t>
  </si>
  <si>
    <t>ماه 6</t>
  </si>
  <si>
    <t>جریان وجوه نقد
ایده تدبیر مهام</t>
  </si>
  <si>
    <t>2.1.4</t>
  </si>
  <si>
    <t>2.1.5</t>
  </si>
  <si>
    <t>2.1.6</t>
  </si>
  <si>
    <t>راه اندازی</t>
  </si>
  <si>
    <t>ارزش افزوده</t>
  </si>
  <si>
    <t>سایر پرداخت های عملیاتی</t>
  </si>
  <si>
    <t>خروجی های غیر عملیاتی</t>
  </si>
  <si>
    <t>خروجی های عملیاتی</t>
  </si>
  <si>
    <t>حقوق و دستمزد</t>
  </si>
  <si>
    <t>سربار</t>
  </si>
  <si>
    <t>سایر پرداخت های غیر عملیاتی</t>
  </si>
  <si>
    <t>سایر دریافت های غیرعملیاتی</t>
  </si>
  <si>
    <t>سایر دریافت های عملیاتی</t>
  </si>
  <si>
    <t>2.2.4</t>
  </si>
  <si>
    <t>بهمن 1403</t>
  </si>
  <si>
    <t>اسفند 1403</t>
  </si>
  <si>
    <t>فروردین 1404</t>
  </si>
  <si>
    <t>ورودی های عملیاتی</t>
  </si>
  <si>
    <t>پروژه واحدهای 56 و 57 آبادان</t>
  </si>
  <si>
    <t>مبلغ ناخالص</t>
  </si>
  <si>
    <t>سایر کسورات</t>
  </si>
  <si>
    <t>مبلغ خالص</t>
  </si>
  <si>
    <t>تعدیل 3</t>
  </si>
  <si>
    <t>بیمه (5%)</t>
  </si>
  <si>
    <t>پیش دریافت (20%)</t>
  </si>
  <si>
    <t>حسن انجام کار (10%)</t>
  </si>
  <si>
    <t>تعدیل 4 (ص و 10)</t>
  </si>
  <si>
    <t>تعدیل 5 (ص و 11)</t>
  </si>
  <si>
    <t>تعدیل 6 (ص و 12)</t>
  </si>
  <si>
    <t>صورت وضعیت 11 (آذر)</t>
  </si>
  <si>
    <t>صورت وضعیت 12 (دی)</t>
  </si>
  <si>
    <t>صورت وضعیت 13 (بهمن)</t>
  </si>
  <si>
    <t>صورت وضعیت 14 (اسفند)</t>
  </si>
  <si>
    <t>آبادان</t>
  </si>
  <si>
    <t xml:space="preserve">پیش دریافت </t>
  </si>
  <si>
    <t>حسن انجام کار</t>
  </si>
  <si>
    <t>محاسبه خالص ورودی های عملیاتی</t>
  </si>
  <si>
    <t>راه اندازی آبادان</t>
  </si>
  <si>
    <t>مهندسی صومعه سرا</t>
  </si>
  <si>
    <t>دفتر مرکزی</t>
  </si>
  <si>
    <t>حقوق</t>
  </si>
  <si>
    <t>بیمه</t>
  </si>
  <si>
    <t>مالیات</t>
  </si>
  <si>
    <t>مالیات معوق</t>
  </si>
  <si>
    <t>اثاثه</t>
  </si>
  <si>
    <t>اجاره</t>
  </si>
  <si>
    <t>هدایا</t>
  </si>
  <si>
    <t>عیدی</t>
  </si>
  <si>
    <t>تنخواه</t>
  </si>
  <si>
    <t>سایر</t>
  </si>
  <si>
    <t>جمع</t>
  </si>
  <si>
    <t>صومعه سرا- مهندسی تفصیلی</t>
  </si>
  <si>
    <t>صومعه سرا- مهندسی خرید</t>
  </si>
  <si>
    <t>مانده اول دوره</t>
  </si>
  <si>
    <t>پیش دریافت قرارداد</t>
  </si>
  <si>
    <t>2.1.7</t>
  </si>
  <si>
    <t>خدمات مهندسی</t>
  </si>
  <si>
    <t>تامین کالا</t>
  </si>
  <si>
    <t>خدمات آموزش</t>
  </si>
  <si>
    <t>علی الحساب دریافتی</t>
  </si>
  <si>
    <t>2.1.8</t>
  </si>
  <si>
    <t>آزادسازی سپرده حسن انجام کار</t>
  </si>
  <si>
    <t>2.1.9</t>
  </si>
  <si>
    <t>2.1.10</t>
  </si>
  <si>
    <t>آزادسازی سپرده بیمه</t>
  </si>
  <si>
    <t>برگشت سپرده نقدی ضمانت نامه</t>
  </si>
  <si>
    <t>افزایش سرمایه (آورده نقدی)</t>
  </si>
  <si>
    <t>تسهیلات بانکی</t>
  </si>
  <si>
    <t>سود حاصل از سرمایه گذاری</t>
  </si>
  <si>
    <t>2.2.5</t>
  </si>
  <si>
    <t>2.2.6</t>
  </si>
  <si>
    <t>هزینه خدمات مهندسی</t>
  </si>
  <si>
    <t>هزینه تامین کالا</t>
  </si>
  <si>
    <t>هزینه راه اندازی</t>
  </si>
  <si>
    <t>هزینه خدمات آموزش</t>
  </si>
  <si>
    <t>سپرده نقدی ضمانت نامه</t>
  </si>
  <si>
    <t>کارمزد بانکی</t>
  </si>
  <si>
    <t>پرداخت علی الحساب و پیش پرداخت</t>
  </si>
  <si>
    <t>اقساط تسهیلات دریافتی</t>
  </si>
  <si>
    <t>هزینه های توسعه بازار</t>
  </si>
  <si>
    <t>هزینه خدمات مشاور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</si>
  <si>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</si>
  <si>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</si>
  <si>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</si>
  <si>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</si>
  <si>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</si>
  <si>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</si>
  <si>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</si>
  <si>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</si>
  <si>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3.2.1</t>
  </si>
  <si>
    <t>3.2.2</t>
  </si>
  <si>
    <t>3.2.3</t>
  </si>
  <si>
    <t>3.2.4</t>
  </si>
  <si>
    <t>3.2.5</t>
  </si>
  <si>
    <t>3.2.6</t>
  </si>
  <si>
    <t>هزینه های اداری و تشکیلاتی</t>
  </si>
  <si>
    <t>3.2.7</t>
  </si>
  <si>
    <t>مانده پایان دوره</t>
  </si>
  <si>
    <t>3.2.8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</si>
</sst>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B Nazanin"/>
    </font>
    <font>
      <b/>
      <sz val="11"/>
      <color theme="1"/>
      <name val="B Nazanin"/>
    </font>
    <font>
      <sz val="8"/>
      <name val="Calibri"/>
      <family val="2"/>
      <scheme val="minor"/>
    </font>
    <font>
      <b/>
      <sz val="10"/>
      <color theme="1"/>
      <name val="B Nazanin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B Nazanin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37" fontId="1" fillId="2" borderId="1" xfId="0" applyNumberFormat="1" applyFont="1" applyFill="1" applyBorder="1" applyAlignment="1">
      <alignment horizontal="right" vertical="center"/>
    </xf>
    <xf numFmtId="37" fontId="1" fillId="0" borderId="1" xfId="0" applyNumberFormat="1" applyFont="1" applyBorder="1" applyAlignment="1">
      <alignment horizontal="right" vertical="center"/>
    </xf>
    <xf numFmtId="37" fontId="1" fillId="3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37" fontId="1" fillId="7" borderId="1" xfId="0" applyNumberFormat="1" applyFont="1" applyFill="1" applyBorder="1" applyAlignment="1">
      <alignment horizontal="right" vertical="center"/>
    </xf>
    <xf numFmtId="37" fontId="1" fillId="8" borderId="1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37" fontId="2" fillId="0" borderId="1" xfId="0" applyNumberFormat="1" applyFont="1" applyBorder="1" applyAlignment="1">
      <alignment horizontal="right" vertical="center"/>
    </xf>
    <xf numFmtId="37" fontId="2" fillId="0" borderId="6" xfId="0" applyNumberFormat="1" applyFont="1" applyBorder="1" applyAlignment="1">
      <alignment horizontal="right" vertical="center"/>
    </xf>
    <xf numFmtId="37" fontId="2" fillId="9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37" fontId="2" fillId="0" borderId="8" xfId="0" applyNumberFormat="1" applyFont="1" applyBorder="1" applyAlignment="1">
      <alignment horizontal="right" vertical="center"/>
    </xf>
    <xf numFmtId="0" fontId="7" fillId="10" borderId="3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 wrapText="1"/>
    </xf>
    <xf numFmtId="37" fontId="1" fillId="0" borderId="0" xfId="0" applyNumberFormat="1" applyFont="1" applyAlignment="1">
      <alignment horizontal="right" vertical="center"/>
    </xf>
    <xf numFmtId="0" fontId="1" fillId="0" borderId="11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1" fillId="0" borderId="10" xfId="0" applyFont="1" applyBorder="1" applyAlignment="1">
      <alignment horizontal="center" vertical="center" textRotation="90"/>
    </xf>
    <xf numFmtId="0" fontId="1" fillId="0" borderId="8" xfId="0" applyFont="1" applyBorder="1" applyAlignment="1">
      <alignment horizontal="center" vertical="center" textRotation="90"/>
    </xf>
    <xf numFmtId="0" fontId="1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4" fillId="8" borderId="2" xfId="0" applyFont="1" applyFill="1" applyBorder="1" applyAlignment="1">
      <alignment horizontal="right" vertical="center"/>
    </xf>
    <xf numFmtId="0" fontId="4" fillId="8" borderId="4" xfId="0" applyFont="1" applyFill="1" applyBorder="1" applyAlignment="1">
      <alignment horizontal="right" vertical="center"/>
    </xf>
    <xf numFmtId="0" fontId="4" fillId="7" borderId="3" xfId="0" applyFont="1" applyFill="1" applyBorder="1" applyAlignment="1">
      <alignment horizontal="right" vertical="center"/>
    </xf>
    <xf numFmtId="0" fontId="4" fillId="7" borderId="2" xfId="0" applyFont="1" applyFill="1" applyBorder="1" applyAlignment="1">
      <alignment horizontal="right" vertical="center"/>
    </xf>
    <xf numFmtId="0" fontId="4" fillId="8" borderId="3" xfId="0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7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right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right" vertical="center"/>
    </xf>
    <xf numFmtId="0" fontId="2" fillId="7" borderId="3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E884-4BA9-4C05-8D5A-FC0B17E9DE86}">
  <sheetPr>
    <pageSetUpPr fitToPage="1"/>
  </sheetPr>
  <dimension ref="A1:S157"/>
  <sheetViews>
    <sheetView rightToLeft="1" view="pageBreakPreview" topLeftCell="A10" zoomScale="85" zoomScaleNormal="100" zoomScaleSheetLayoutView="85" workbookViewId="0">
      <selection activeCell="F48" sqref="F48"/>
    </sheetView>
  </sheetViews>
  <sheetFormatPr baseColWidth="10" defaultColWidth="8.83203125" defaultRowHeight="16" x14ac:dyDescent="0.2"/>
  <cols>
    <col min="1" max="1" width="11.33203125" style="1" customWidth="1"/>
    <col min="2" max="2" width="5.5" style="1" customWidth="1"/>
    <col min="3" max="3" width="17.6640625" style="1" customWidth="1"/>
    <col min="4" max="10" width="18.83203125" style="1" customWidth="1"/>
    <col min="11" max="19" width="7.83203125" style="1" customWidth="1"/>
    <col min="20" max="16384" width="8.83203125" style="1"/>
  </cols>
  <sheetData>
    <row r="1" spans="1:19" ht="36.5" customHeight="1" x14ac:dyDescent="0.2">
      <c r="A1" s="32" t="s">
        <v>35</v>
      </c>
      <c r="B1" s="32"/>
      <c r="C1" s="32"/>
      <c r="D1" s="32"/>
      <c r="E1" s="32"/>
      <c r="F1" s="32"/>
      <c r="G1" s="32"/>
      <c r="H1" s="32"/>
      <c r="I1" s="32"/>
      <c r="J1" s="32"/>
      <c r="K1" s="7"/>
      <c r="L1" s="7"/>
      <c r="M1" s="7"/>
      <c r="N1" s="7"/>
      <c r="O1" s="7"/>
      <c r="P1" s="7"/>
      <c r="Q1" s="7"/>
      <c r="R1" s="7"/>
      <c r="S1" s="7"/>
    </row>
    <row r="2" spans="1:19" x14ac:dyDescent="0.2">
      <c r="A2" s="31" t="s">
        <v>0</v>
      </c>
      <c r="B2" s="15"/>
      <c r="C2" s="15"/>
      <c r="D2" s="6" t="s">
        <v>32</v>
      </c>
      <c r="E2" s="33" t="s">
        <v>33</v>
      </c>
      <c r="F2" s="33"/>
      <c r="G2" s="33"/>
      <c r="H2" s="33" t="s">
        <v>34</v>
      </c>
      <c r="I2" s="33"/>
      <c r="J2" s="33"/>
      <c r="K2" s="31" t="s">
        <v>14</v>
      </c>
      <c r="L2" s="31"/>
      <c r="M2" s="31"/>
      <c r="N2" s="31" t="s">
        <v>15</v>
      </c>
      <c r="O2" s="31"/>
      <c r="P2" s="31"/>
      <c r="Q2" s="31" t="s">
        <v>16</v>
      </c>
      <c r="R2" s="31"/>
      <c r="S2" s="31"/>
    </row>
    <row r="3" spans="1:19" ht="17" customHeight="1" x14ac:dyDescent="0.2">
      <c r="A3" s="31"/>
      <c r="B3" s="15"/>
      <c r="C3" s="15"/>
      <c r="D3" s="11">
        <v>30</v>
      </c>
      <c r="E3" s="11">
        <v>10</v>
      </c>
      <c r="F3" s="11">
        <v>20</v>
      </c>
      <c r="G3" s="11">
        <v>30</v>
      </c>
      <c r="H3" s="11">
        <v>10</v>
      </c>
      <c r="I3" s="11">
        <v>20</v>
      </c>
      <c r="J3" s="11">
        <v>30</v>
      </c>
      <c r="K3" s="2">
        <v>10</v>
      </c>
      <c r="L3" s="2">
        <v>20</v>
      </c>
      <c r="M3" s="2">
        <v>30</v>
      </c>
      <c r="N3" s="2">
        <v>10</v>
      </c>
      <c r="O3" s="2">
        <v>20</v>
      </c>
      <c r="P3" s="2">
        <v>30</v>
      </c>
      <c r="Q3" s="2">
        <v>10</v>
      </c>
      <c r="R3" s="2">
        <v>20</v>
      </c>
      <c r="S3" s="2">
        <v>30</v>
      </c>
    </row>
    <row r="4" spans="1:19" ht="22.25" customHeight="1" x14ac:dyDescent="0.2">
      <c r="A4" s="30" t="s">
        <v>36</v>
      </c>
      <c r="B4" s="30" t="s">
        <v>40</v>
      </c>
      <c r="C4" s="14" t="s">
        <v>37</v>
      </c>
      <c r="D4" s="9">
        <f>47910729957</f>
        <v>47910729957</v>
      </c>
      <c r="E4" s="9"/>
      <c r="F4" s="9"/>
      <c r="G4" s="9"/>
      <c r="H4" s="9"/>
      <c r="I4" s="9"/>
      <c r="J4" s="9"/>
      <c r="K4" s="5"/>
      <c r="L4" s="5"/>
      <c r="M4" s="5"/>
      <c r="N4" s="5"/>
      <c r="O4" s="5"/>
      <c r="P4" s="5"/>
      <c r="Q4" s="5"/>
      <c r="R4" s="5"/>
      <c r="S4" s="5"/>
    </row>
    <row r="5" spans="1:19" ht="22.25" customHeight="1" x14ac:dyDescent="0.2">
      <c r="A5" s="28"/>
      <c r="B5" s="28"/>
      <c r="C5" s="14" t="s">
        <v>41</v>
      </c>
      <c r="D5" s="9">
        <f t="shared" ref="D5:J5" si="0">-(D4*0.05)</f>
        <v>-2395536497.8499999</v>
      </c>
      <c r="E5" s="9">
        <f t="shared" si="0"/>
        <v>0</v>
      </c>
      <c r="F5" s="9">
        <f t="shared" si="0"/>
        <v>0</v>
      </c>
      <c r="G5" s="9">
        <f t="shared" si="0"/>
        <v>0</v>
      </c>
      <c r="H5" s="9">
        <f t="shared" si="0"/>
        <v>0</v>
      </c>
      <c r="I5" s="9">
        <f t="shared" si="0"/>
        <v>0</v>
      </c>
      <c r="J5" s="9">
        <f t="shared" si="0"/>
        <v>0</v>
      </c>
      <c r="K5" s="5"/>
      <c r="L5" s="5"/>
      <c r="M5" s="5"/>
      <c r="N5" s="5"/>
      <c r="O5" s="5"/>
      <c r="P5" s="5"/>
      <c r="Q5" s="5"/>
      <c r="R5" s="5"/>
      <c r="S5" s="5"/>
    </row>
    <row r="6" spans="1:19" ht="22.25" customHeight="1" x14ac:dyDescent="0.2">
      <c r="A6" s="28"/>
      <c r="B6" s="28"/>
      <c r="C6" s="14" t="s">
        <v>42</v>
      </c>
      <c r="D6" s="9"/>
      <c r="E6" s="9"/>
      <c r="F6" s="9"/>
      <c r="G6" s="9"/>
      <c r="H6" s="9"/>
      <c r="I6" s="9"/>
      <c r="J6" s="9"/>
      <c r="K6" s="5"/>
      <c r="L6" s="5"/>
      <c r="M6" s="5"/>
      <c r="N6" s="5"/>
      <c r="O6" s="5"/>
      <c r="P6" s="5"/>
      <c r="Q6" s="5"/>
      <c r="R6" s="5"/>
      <c r="S6" s="5"/>
    </row>
    <row r="7" spans="1:19" ht="22.25" customHeight="1" x14ac:dyDescent="0.2">
      <c r="A7" s="28"/>
      <c r="B7" s="28"/>
      <c r="C7" s="14" t="s">
        <v>43</v>
      </c>
      <c r="D7" s="9">
        <f t="shared" ref="D7:J7" si="1">-(D4*0.1)</f>
        <v>-4791072995.6999998</v>
      </c>
      <c r="E7" s="9">
        <f t="shared" si="1"/>
        <v>0</v>
      </c>
      <c r="F7" s="9">
        <f t="shared" si="1"/>
        <v>0</v>
      </c>
      <c r="G7" s="9">
        <f t="shared" si="1"/>
        <v>0</v>
      </c>
      <c r="H7" s="9">
        <f t="shared" si="1"/>
        <v>0</v>
      </c>
      <c r="I7" s="9">
        <f t="shared" si="1"/>
        <v>0</v>
      </c>
      <c r="J7" s="9">
        <f t="shared" si="1"/>
        <v>0</v>
      </c>
      <c r="K7" s="5"/>
      <c r="L7" s="5"/>
      <c r="M7" s="5"/>
      <c r="N7" s="5"/>
      <c r="O7" s="5"/>
      <c r="P7" s="5"/>
      <c r="Q7" s="5"/>
      <c r="R7" s="5"/>
      <c r="S7" s="5"/>
    </row>
    <row r="8" spans="1:19" ht="22.25" customHeight="1" x14ac:dyDescent="0.2">
      <c r="A8" s="28"/>
      <c r="B8" s="28"/>
      <c r="C8" s="14" t="s">
        <v>38</v>
      </c>
      <c r="D8" s="9"/>
      <c r="E8" s="9"/>
      <c r="F8" s="9"/>
      <c r="G8" s="9"/>
      <c r="H8" s="9"/>
      <c r="I8" s="9"/>
      <c r="J8" s="9"/>
      <c r="K8" s="5"/>
      <c r="L8" s="5"/>
      <c r="M8" s="5"/>
      <c r="N8" s="5"/>
      <c r="O8" s="5"/>
      <c r="P8" s="5"/>
      <c r="Q8" s="5"/>
      <c r="R8" s="5"/>
      <c r="S8" s="5"/>
    </row>
    <row r="9" spans="1:19" ht="22.25" customHeight="1" x14ac:dyDescent="0.2">
      <c r="A9" s="28"/>
      <c r="B9" s="28"/>
      <c r="C9" s="17" t="s">
        <v>39</v>
      </c>
      <c r="D9" s="18">
        <f t="shared" ref="D9:J9" si="2">D4+D5+D6+D7+D8</f>
        <v>40724120463.450005</v>
      </c>
      <c r="E9" s="18">
        <f t="shared" si="2"/>
        <v>0</v>
      </c>
      <c r="F9" s="18">
        <f t="shared" si="2"/>
        <v>0</v>
      </c>
      <c r="G9" s="18">
        <f t="shared" si="2"/>
        <v>0</v>
      </c>
      <c r="H9" s="18">
        <f t="shared" si="2"/>
        <v>0</v>
      </c>
      <c r="I9" s="18">
        <f t="shared" si="2"/>
        <v>0</v>
      </c>
      <c r="J9" s="18">
        <f t="shared" si="2"/>
        <v>0</v>
      </c>
      <c r="K9" s="5"/>
      <c r="L9" s="5"/>
      <c r="M9" s="5"/>
      <c r="N9" s="5"/>
      <c r="O9" s="5"/>
      <c r="P9" s="5"/>
      <c r="Q9" s="5"/>
      <c r="R9" s="5"/>
      <c r="S9" s="5"/>
    </row>
    <row r="10" spans="1:19" ht="22.25" customHeight="1" thickBot="1" x14ac:dyDescent="0.25">
      <c r="A10" s="29"/>
      <c r="B10" s="29"/>
      <c r="C10" s="16" t="s">
        <v>22</v>
      </c>
      <c r="D10" s="19">
        <f>D4*0.1</f>
        <v>4791072995.6999998</v>
      </c>
      <c r="E10" s="19">
        <f t="shared" ref="E10:J10" si="3">E4*0.1</f>
        <v>0</v>
      </c>
      <c r="F10" s="19">
        <f t="shared" si="3"/>
        <v>0</v>
      </c>
      <c r="G10" s="19">
        <f t="shared" si="3"/>
        <v>0</v>
      </c>
      <c r="H10" s="19">
        <f t="shared" si="3"/>
        <v>0</v>
      </c>
      <c r="I10" s="19">
        <f t="shared" si="3"/>
        <v>0</v>
      </c>
      <c r="J10" s="19">
        <f t="shared" si="3"/>
        <v>0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 ht="22.25" customHeight="1" x14ac:dyDescent="0.2">
      <c r="A11" s="27" t="s">
        <v>36</v>
      </c>
      <c r="B11" s="30" t="s">
        <v>47</v>
      </c>
      <c r="C11" s="14" t="s">
        <v>37</v>
      </c>
      <c r="D11" s="9">
        <v>157051629551</v>
      </c>
      <c r="E11" s="9"/>
      <c r="F11" s="9"/>
      <c r="G11" s="9"/>
      <c r="H11" s="9"/>
      <c r="I11" s="9"/>
      <c r="J11" s="9"/>
      <c r="K11" s="5"/>
      <c r="L11" s="5"/>
      <c r="M11" s="5"/>
      <c r="N11" s="5"/>
      <c r="O11" s="5"/>
      <c r="P11" s="5"/>
      <c r="Q11" s="5"/>
      <c r="R11" s="5"/>
      <c r="S11" s="5"/>
    </row>
    <row r="12" spans="1:19" ht="22.25" customHeight="1" x14ac:dyDescent="0.2">
      <c r="A12" s="28"/>
      <c r="B12" s="28"/>
      <c r="C12" s="14" t="s">
        <v>41</v>
      </c>
      <c r="D12" s="9">
        <f t="shared" ref="D12:J12" si="4">-(D11*0.05)</f>
        <v>-7852581477.5500002</v>
      </c>
      <c r="E12" s="9">
        <f t="shared" si="4"/>
        <v>0</v>
      </c>
      <c r="F12" s="9">
        <f t="shared" si="4"/>
        <v>0</v>
      </c>
      <c r="G12" s="9">
        <f t="shared" si="4"/>
        <v>0</v>
      </c>
      <c r="H12" s="9">
        <f t="shared" si="4"/>
        <v>0</v>
      </c>
      <c r="I12" s="9">
        <f t="shared" si="4"/>
        <v>0</v>
      </c>
      <c r="J12" s="9">
        <f t="shared" si="4"/>
        <v>0</v>
      </c>
      <c r="K12" s="5"/>
      <c r="L12" s="5"/>
      <c r="M12" s="5"/>
      <c r="N12" s="5"/>
      <c r="O12" s="5"/>
      <c r="P12" s="5"/>
      <c r="Q12" s="5"/>
      <c r="R12" s="5"/>
      <c r="S12" s="5"/>
    </row>
    <row r="13" spans="1:19" ht="22.25" customHeight="1" x14ac:dyDescent="0.2">
      <c r="A13" s="28"/>
      <c r="B13" s="28"/>
      <c r="C13" s="14" t="s">
        <v>42</v>
      </c>
      <c r="D13" s="9">
        <f>-(D11*0.2)</f>
        <v>-31410325910.200001</v>
      </c>
      <c r="E13" s="9"/>
      <c r="F13" s="9"/>
      <c r="G13" s="9"/>
      <c r="H13" s="9"/>
      <c r="I13" s="9"/>
      <c r="J13" s="9"/>
      <c r="K13" s="5"/>
      <c r="L13" s="5"/>
      <c r="M13" s="5"/>
      <c r="N13" s="5"/>
      <c r="O13" s="5"/>
      <c r="P13" s="5"/>
      <c r="Q13" s="5"/>
      <c r="R13" s="5"/>
      <c r="S13" s="5"/>
    </row>
    <row r="14" spans="1:19" ht="22.25" customHeight="1" x14ac:dyDescent="0.2">
      <c r="A14" s="28"/>
      <c r="B14" s="28"/>
      <c r="C14" s="14" t="s">
        <v>43</v>
      </c>
      <c r="D14" s="9">
        <f t="shared" ref="D14:J14" si="5">-(D11*0.1)</f>
        <v>-15705162955.1</v>
      </c>
      <c r="E14" s="9">
        <f t="shared" si="5"/>
        <v>0</v>
      </c>
      <c r="F14" s="9">
        <f t="shared" si="5"/>
        <v>0</v>
      </c>
      <c r="G14" s="9">
        <f t="shared" si="5"/>
        <v>0</v>
      </c>
      <c r="H14" s="9">
        <f t="shared" si="5"/>
        <v>0</v>
      </c>
      <c r="I14" s="9">
        <f t="shared" si="5"/>
        <v>0</v>
      </c>
      <c r="J14" s="9">
        <f t="shared" si="5"/>
        <v>0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 ht="22.25" customHeight="1" x14ac:dyDescent="0.2">
      <c r="A15" s="28"/>
      <c r="B15" s="28"/>
      <c r="C15" s="14" t="s">
        <v>38</v>
      </c>
      <c r="D15" s="9"/>
      <c r="E15" s="9"/>
      <c r="F15" s="9"/>
      <c r="G15" s="9"/>
      <c r="H15" s="9"/>
      <c r="I15" s="9"/>
      <c r="J15" s="9"/>
      <c r="K15" s="5"/>
      <c r="L15" s="5"/>
      <c r="M15" s="5"/>
      <c r="N15" s="5"/>
      <c r="O15" s="5"/>
      <c r="P15" s="5"/>
      <c r="Q15" s="5"/>
      <c r="R15" s="5"/>
      <c r="S15" s="5"/>
    </row>
    <row r="16" spans="1:19" ht="22.25" customHeight="1" x14ac:dyDescent="0.2">
      <c r="A16" s="28"/>
      <c r="B16" s="28"/>
      <c r="C16" s="17" t="s">
        <v>39</v>
      </c>
      <c r="D16" s="18">
        <f t="shared" ref="D16:J16" si="6">D11+D12+D13+D14+D15</f>
        <v>102083559208.15001</v>
      </c>
      <c r="E16" s="18">
        <f t="shared" si="6"/>
        <v>0</v>
      </c>
      <c r="F16" s="18">
        <f t="shared" si="6"/>
        <v>0</v>
      </c>
      <c r="G16" s="18">
        <f t="shared" si="6"/>
        <v>0</v>
      </c>
      <c r="H16" s="18">
        <f t="shared" si="6"/>
        <v>0</v>
      </c>
      <c r="I16" s="18">
        <f t="shared" si="6"/>
        <v>0</v>
      </c>
      <c r="J16" s="18">
        <f t="shared" si="6"/>
        <v>0</v>
      </c>
      <c r="K16" s="5"/>
      <c r="L16" s="5"/>
      <c r="M16" s="5"/>
      <c r="N16" s="5"/>
      <c r="O16" s="5"/>
      <c r="P16" s="5"/>
      <c r="Q16" s="5"/>
      <c r="R16" s="5"/>
      <c r="S16" s="5"/>
    </row>
    <row r="17" spans="1:19" ht="22.25" customHeight="1" thickBot="1" x14ac:dyDescent="0.25">
      <c r="A17" s="29"/>
      <c r="B17" s="29"/>
      <c r="C17" s="16" t="s">
        <v>22</v>
      </c>
      <c r="D17" s="19">
        <f>D11*0.1</f>
        <v>15705162955.1</v>
      </c>
      <c r="E17" s="19">
        <f t="shared" ref="E17:J17" si="7">E11*0.1</f>
        <v>0</v>
      </c>
      <c r="F17" s="19">
        <f t="shared" si="7"/>
        <v>0</v>
      </c>
      <c r="G17" s="19">
        <f t="shared" si="7"/>
        <v>0</v>
      </c>
      <c r="H17" s="19">
        <f t="shared" si="7"/>
        <v>0</v>
      </c>
      <c r="I17" s="19">
        <f t="shared" si="7"/>
        <v>0</v>
      </c>
      <c r="J17" s="19">
        <f t="shared" si="7"/>
        <v>0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 ht="22.25" customHeight="1" x14ac:dyDescent="0.2">
      <c r="A18" s="27" t="s">
        <v>36</v>
      </c>
      <c r="B18" s="30" t="s">
        <v>44</v>
      </c>
      <c r="C18" s="14" t="s">
        <v>37</v>
      </c>
      <c r="D18" s="9"/>
      <c r="E18" s="9">
        <v>53475129273</v>
      </c>
      <c r="F18" s="9"/>
      <c r="G18" s="9"/>
      <c r="H18" s="9"/>
      <c r="I18" s="9"/>
      <c r="J18" s="9"/>
      <c r="K18" s="5"/>
      <c r="L18" s="5"/>
      <c r="M18" s="5"/>
      <c r="N18" s="5"/>
      <c r="O18" s="5"/>
      <c r="P18" s="5"/>
      <c r="Q18" s="5"/>
      <c r="R18" s="5"/>
      <c r="S18" s="5"/>
    </row>
    <row r="19" spans="1:19" ht="22.25" customHeight="1" x14ac:dyDescent="0.2">
      <c r="A19" s="28"/>
      <c r="B19" s="28"/>
      <c r="C19" s="14" t="s">
        <v>41</v>
      </c>
      <c r="D19" s="9">
        <f>-(D18*0.05)</f>
        <v>0</v>
      </c>
      <c r="E19" s="9">
        <f t="shared" ref="E19:J19" si="8">-(E18*0.05)</f>
        <v>-2673756463.6500001</v>
      </c>
      <c r="F19" s="9">
        <f t="shared" si="8"/>
        <v>0</v>
      </c>
      <c r="G19" s="9">
        <f t="shared" si="8"/>
        <v>0</v>
      </c>
      <c r="H19" s="9">
        <f t="shared" si="8"/>
        <v>0</v>
      </c>
      <c r="I19" s="9">
        <f t="shared" si="8"/>
        <v>0</v>
      </c>
      <c r="J19" s="9">
        <f t="shared" si="8"/>
        <v>0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 ht="22.25" customHeight="1" x14ac:dyDescent="0.2">
      <c r="A20" s="28"/>
      <c r="B20" s="28"/>
      <c r="C20" s="14" t="s">
        <v>42</v>
      </c>
      <c r="D20" s="9"/>
      <c r="E20" s="9"/>
      <c r="F20" s="9"/>
      <c r="G20" s="9"/>
      <c r="H20" s="9"/>
      <c r="I20" s="9"/>
      <c r="J20" s="9"/>
      <c r="K20" s="5"/>
      <c r="L20" s="5"/>
      <c r="M20" s="5"/>
      <c r="N20" s="5"/>
      <c r="O20" s="5"/>
      <c r="P20" s="5"/>
      <c r="Q20" s="5"/>
      <c r="R20" s="5"/>
      <c r="S20" s="5"/>
    </row>
    <row r="21" spans="1:19" ht="22.25" customHeight="1" x14ac:dyDescent="0.2">
      <c r="A21" s="28"/>
      <c r="B21" s="28"/>
      <c r="C21" s="14" t="s">
        <v>43</v>
      </c>
      <c r="D21" s="9">
        <f>-(D18*0.1)</f>
        <v>0</v>
      </c>
      <c r="E21" s="9">
        <f t="shared" ref="E21:J21" si="9">-(E18*0.1)</f>
        <v>-5347512927.3000002</v>
      </c>
      <c r="F21" s="9">
        <f t="shared" si="9"/>
        <v>0</v>
      </c>
      <c r="G21" s="9">
        <f t="shared" si="9"/>
        <v>0</v>
      </c>
      <c r="H21" s="9">
        <f t="shared" si="9"/>
        <v>0</v>
      </c>
      <c r="I21" s="9">
        <f t="shared" si="9"/>
        <v>0</v>
      </c>
      <c r="J21" s="9">
        <f t="shared" si="9"/>
        <v>0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 ht="22.25" customHeight="1" x14ac:dyDescent="0.2">
      <c r="A22" s="28"/>
      <c r="B22" s="28"/>
      <c r="C22" s="14" t="s">
        <v>38</v>
      </c>
      <c r="D22" s="9"/>
      <c r="E22" s="9"/>
      <c r="F22" s="9"/>
      <c r="G22" s="9"/>
      <c r="H22" s="9"/>
      <c r="I22" s="9"/>
      <c r="J22" s="9"/>
      <c r="K22" s="5"/>
      <c r="L22" s="5"/>
      <c r="M22" s="5"/>
      <c r="N22" s="5"/>
      <c r="O22" s="5"/>
      <c r="P22" s="5"/>
      <c r="Q22" s="5"/>
      <c r="R22" s="5"/>
      <c r="S22" s="5"/>
    </row>
    <row r="23" spans="1:19" ht="22.25" customHeight="1" x14ac:dyDescent="0.2">
      <c r="A23" s="28"/>
      <c r="B23" s="28"/>
      <c r="C23" s="17" t="s">
        <v>39</v>
      </c>
      <c r="D23" s="18">
        <f t="shared" ref="D23:J23" si="10">D18+D19+D20+D21+D22</f>
        <v>0</v>
      </c>
      <c r="E23" s="18">
        <f t="shared" si="10"/>
        <v>45453859882.049995</v>
      </c>
      <c r="F23" s="18">
        <f t="shared" si="10"/>
        <v>0</v>
      </c>
      <c r="G23" s="18">
        <f t="shared" si="10"/>
        <v>0</v>
      </c>
      <c r="H23" s="18">
        <f t="shared" si="10"/>
        <v>0</v>
      </c>
      <c r="I23" s="18">
        <f t="shared" si="10"/>
        <v>0</v>
      </c>
      <c r="J23" s="18">
        <f t="shared" si="10"/>
        <v>0</v>
      </c>
      <c r="K23" s="5"/>
      <c r="L23" s="5"/>
      <c r="M23" s="5"/>
      <c r="N23" s="5"/>
      <c r="O23" s="5"/>
      <c r="P23" s="5"/>
      <c r="Q23" s="5"/>
      <c r="R23" s="5"/>
      <c r="S23" s="5"/>
    </row>
    <row r="24" spans="1:19" ht="22.25" customHeight="1" thickBot="1" x14ac:dyDescent="0.25">
      <c r="A24" s="29"/>
      <c r="B24" s="29"/>
      <c r="C24" s="16" t="s">
        <v>22</v>
      </c>
      <c r="D24" s="19">
        <f>D18*0.1</f>
        <v>0</v>
      </c>
      <c r="E24" s="19">
        <f t="shared" ref="E24:J24" si="11">E18*0.1</f>
        <v>5347512927.3000002</v>
      </c>
      <c r="F24" s="19">
        <f t="shared" si="11"/>
        <v>0</v>
      </c>
      <c r="G24" s="19">
        <f t="shared" si="11"/>
        <v>0</v>
      </c>
      <c r="H24" s="19">
        <f t="shared" si="11"/>
        <v>0</v>
      </c>
      <c r="I24" s="19">
        <f t="shared" si="11"/>
        <v>0</v>
      </c>
      <c r="J24" s="19">
        <f t="shared" si="11"/>
        <v>0</v>
      </c>
      <c r="K24" s="5"/>
      <c r="L24" s="5"/>
      <c r="M24" s="5"/>
      <c r="N24" s="5"/>
      <c r="O24" s="5"/>
      <c r="P24" s="5"/>
      <c r="Q24" s="5"/>
      <c r="R24" s="5"/>
      <c r="S24" s="5"/>
    </row>
    <row r="25" spans="1:19" ht="22.25" customHeight="1" x14ac:dyDescent="0.2">
      <c r="A25" s="27" t="s">
        <v>36</v>
      </c>
      <c r="B25" s="30" t="s">
        <v>45</v>
      </c>
      <c r="C25" s="14" t="s">
        <v>37</v>
      </c>
      <c r="D25" s="9"/>
      <c r="E25" s="9">
        <v>44759714422</v>
      </c>
      <c r="F25" s="9"/>
      <c r="G25" s="9"/>
      <c r="H25" s="9"/>
      <c r="I25" s="9"/>
      <c r="J25" s="9"/>
      <c r="K25" s="5"/>
      <c r="L25" s="5"/>
      <c r="M25" s="5"/>
      <c r="N25" s="5"/>
      <c r="O25" s="5"/>
      <c r="P25" s="5"/>
      <c r="Q25" s="5"/>
      <c r="R25" s="5"/>
      <c r="S25" s="5"/>
    </row>
    <row r="26" spans="1:19" ht="22.25" customHeight="1" x14ac:dyDescent="0.2">
      <c r="A26" s="28"/>
      <c r="B26" s="28"/>
      <c r="C26" s="14" t="s">
        <v>41</v>
      </c>
      <c r="D26" s="9">
        <f>-(D25*0.05)</f>
        <v>0</v>
      </c>
      <c r="E26" s="9">
        <f t="shared" ref="E26:J26" si="12">-(E25*0.05)</f>
        <v>-2237985721.0999999</v>
      </c>
      <c r="F26" s="9">
        <f t="shared" si="12"/>
        <v>0</v>
      </c>
      <c r="G26" s="9">
        <f t="shared" si="12"/>
        <v>0</v>
      </c>
      <c r="H26" s="9">
        <f t="shared" si="12"/>
        <v>0</v>
      </c>
      <c r="I26" s="9">
        <f t="shared" si="12"/>
        <v>0</v>
      </c>
      <c r="J26" s="9">
        <f t="shared" si="12"/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 spans="1:19" ht="22.25" customHeight="1" x14ac:dyDescent="0.2">
      <c r="A27" s="28"/>
      <c r="B27" s="28"/>
      <c r="C27" s="14" t="s">
        <v>42</v>
      </c>
      <c r="D27" s="9"/>
      <c r="E27" s="9"/>
      <c r="F27" s="9"/>
      <c r="G27" s="9"/>
      <c r="H27" s="9"/>
      <c r="I27" s="9"/>
      <c r="J27" s="9"/>
      <c r="K27" s="5"/>
      <c r="L27" s="5"/>
      <c r="M27" s="5"/>
      <c r="N27" s="5"/>
      <c r="O27" s="5"/>
      <c r="P27" s="5"/>
      <c r="Q27" s="5"/>
      <c r="R27" s="5"/>
      <c r="S27" s="5"/>
    </row>
    <row r="28" spans="1:19" ht="22.25" customHeight="1" x14ac:dyDescent="0.2">
      <c r="A28" s="28"/>
      <c r="B28" s="28"/>
      <c r="C28" s="14" t="s">
        <v>43</v>
      </c>
      <c r="D28" s="9">
        <f>-(D25*0.1)</f>
        <v>0</v>
      </c>
      <c r="E28" s="9">
        <f t="shared" ref="E28:J28" si="13">-(E25*0.1)</f>
        <v>-4475971442.1999998</v>
      </c>
      <c r="F28" s="9">
        <f t="shared" si="13"/>
        <v>0</v>
      </c>
      <c r="G28" s="9">
        <f t="shared" si="13"/>
        <v>0</v>
      </c>
      <c r="H28" s="9">
        <f t="shared" si="13"/>
        <v>0</v>
      </c>
      <c r="I28" s="9">
        <f t="shared" si="13"/>
        <v>0</v>
      </c>
      <c r="J28" s="9">
        <f t="shared" si="13"/>
        <v>0</v>
      </c>
      <c r="K28" s="5"/>
      <c r="L28" s="5"/>
      <c r="M28" s="5"/>
      <c r="N28" s="5"/>
      <c r="O28" s="5"/>
      <c r="P28" s="5"/>
      <c r="Q28" s="5"/>
      <c r="R28" s="5"/>
      <c r="S28" s="5"/>
    </row>
    <row r="29" spans="1:19" ht="22.25" customHeight="1" x14ac:dyDescent="0.2">
      <c r="A29" s="28"/>
      <c r="B29" s="28"/>
      <c r="C29" s="14" t="s">
        <v>38</v>
      </c>
      <c r="D29" s="9"/>
      <c r="E29" s="9"/>
      <c r="F29" s="9"/>
      <c r="G29" s="9"/>
      <c r="H29" s="9"/>
      <c r="I29" s="9"/>
      <c r="J29" s="9"/>
      <c r="K29" s="5"/>
      <c r="L29" s="5"/>
      <c r="M29" s="5"/>
      <c r="N29" s="5"/>
      <c r="O29" s="5"/>
      <c r="P29" s="5"/>
      <c r="Q29" s="5"/>
      <c r="R29" s="5"/>
      <c r="S29" s="5"/>
    </row>
    <row r="30" spans="1:19" ht="22.25" customHeight="1" x14ac:dyDescent="0.2">
      <c r="A30" s="28"/>
      <c r="B30" s="28"/>
      <c r="C30" s="17" t="s">
        <v>39</v>
      </c>
      <c r="D30" s="18">
        <f t="shared" ref="D30:J30" si="14">D25+D26+D27+D28+D29</f>
        <v>0</v>
      </c>
      <c r="E30" s="18">
        <f t="shared" si="14"/>
        <v>38045757258.700005</v>
      </c>
      <c r="F30" s="18">
        <f t="shared" si="14"/>
        <v>0</v>
      </c>
      <c r="G30" s="18">
        <f t="shared" si="14"/>
        <v>0</v>
      </c>
      <c r="H30" s="18">
        <f t="shared" si="14"/>
        <v>0</v>
      </c>
      <c r="I30" s="18">
        <f t="shared" si="14"/>
        <v>0</v>
      </c>
      <c r="J30" s="18">
        <f t="shared" si="14"/>
        <v>0</v>
      </c>
      <c r="K30" s="5"/>
      <c r="L30" s="5"/>
      <c r="M30" s="5"/>
      <c r="N30" s="5"/>
      <c r="O30" s="5"/>
      <c r="P30" s="5"/>
      <c r="Q30" s="5"/>
      <c r="R30" s="5"/>
      <c r="S30" s="5"/>
    </row>
    <row r="31" spans="1:19" ht="22.25" customHeight="1" thickBot="1" x14ac:dyDescent="0.25">
      <c r="A31" s="29"/>
      <c r="B31" s="29"/>
      <c r="C31" s="16" t="s">
        <v>22</v>
      </c>
      <c r="D31" s="19">
        <f>D25*0.1</f>
        <v>0</v>
      </c>
      <c r="E31" s="19">
        <f t="shared" ref="E31:J31" si="15">E25*0.1</f>
        <v>4475971442.1999998</v>
      </c>
      <c r="F31" s="19">
        <f t="shared" si="15"/>
        <v>0</v>
      </c>
      <c r="G31" s="19">
        <f t="shared" si="15"/>
        <v>0</v>
      </c>
      <c r="H31" s="19">
        <f t="shared" si="15"/>
        <v>0</v>
      </c>
      <c r="I31" s="19">
        <f t="shared" si="15"/>
        <v>0</v>
      </c>
      <c r="J31" s="19">
        <f t="shared" si="15"/>
        <v>0</v>
      </c>
      <c r="K31" s="5"/>
      <c r="L31" s="5"/>
      <c r="M31" s="5"/>
      <c r="N31" s="5"/>
      <c r="O31" s="5"/>
      <c r="P31" s="5"/>
      <c r="Q31" s="5"/>
      <c r="R31" s="5"/>
      <c r="S31" s="5"/>
    </row>
    <row r="32" spans="1:19" ht="22.25" customHeight="1" x14ac:dyDescent="0.2">
      <c r="A32" s="27" t="s">
        <v>36</v>
      </c>
      <c r="B32" s="30" t="s">
        <v>48</v>
      </c>
      <c r="C32" s="14" t="s">
        <v>37</v>
      </c>
      <c r="D32" s="9"/>
      <c r="E32" s="9">
        <v>241312500000</v>
      </c>
      <c r="F32" s="9"/>
      <c r="G32" s="9"/>
      <c r="H32" s="9"/>
      <c r="I32" s="9"/>
      <c r="J32" s="9"/>
      <c r="K32" s="5"/>
      <c r="L32" s="5"/>
      <c r="M32" s="5"/>
      <c r="N32" s="5"/>
      <c r="O32" s="5"/>
      <c r="P32" s="5"/>
      <c r="Q32" s="5"/>
      <c r="R32" s="5"/>
      <c r="S32" s="5"/>
    </row>
    <row r="33" spans="1:19" ht="22.25" customHeight="1" x14ac:dyDescent="0.2">
      <c r="A33" s="28"/>
      <c r="B33" s="28"/>
      <c r="C33" s="14" t="s">
        <v>41</v>
      </c>
      <c r="D33" s="9">
        <f>-(D32*0.05)</f>
        <v>0</v>
      </c>
      <c r="E33" s="9">
        <f t="shared" ref="E33:J33" si="16">-(E32*0.05)</f>
        <v>-12065625000</v>
      </c>
      <c r="F33" s="9">
        <f t="shared" si="16"/>
        <v>0</v>
      </c>
      <c r="G33" s="9">
        <f t="shared" si="16"/>
        <v>0</v>
      </c>
      <c r="H33" s="9">
        <f t="shared" si="16"/>
        <v>0</v>
      </c>
      <c r="I33" s="9">
        <f t="shared" si="16"/>
        <v>0</v>
      </c>
      <c r="J33" s="9">
        <f t="shared" si="16"/>
        <v>0</v>
      </c>
      <c r="K33" s="5"/>
      <c r="L33" s="5"/>
      <c r="M33" s="5"/>
      <c r="N33" s="5"/>
      <c r="O33" s="5"/>
      <c r="P33" s="5"/>
      <c r="Q33" s="5"/>
      <c r="R33" s="5"/>
      <c r="S33" s="5"/>
    </row>
    <row r="34" spans="1:19" ht="22.25" customHeight="1" x14ac:dyDescent="0.2">
      <c r="A34" s="28"/>
      <c r="B34" s="28"/>
      <c r="C34" s="14" t="s">
        <v>42</v>
      </c>
      <c r="D34" s="9">
        <f t="shared" ref="D34:E34" si="17">-(D32*0.2)</f>
        <v>0</v>
      </c>
      <c r="E34" s="9">
        <f t="shared" si="17"/>
        <v>-48262500000</v>
      </c>
      <c r="F34" s="9">
        <f>-(F32*0.2)</f>
        <v>0</v>
      </c>
      <c r="G34" s="9">
        <f t="shared" ref="G34:J34" si="18">-(G32*0.2)</f>
        <v>0</v>
      </c>
      <c r="H34" s="9">
        <f t="shared" si="18"/>
        <v>0</v>
      </c>
      <c r="I34" s="9">
        <f t="shared" si="18"/>
        <v>0</v>
      </c>
      <c r="J34" s="9">
        <f t="shared" si="18"/>
        <v>0</v>
      </c>
      <c r="K34" s="5"/>
      <c r="L34" s="5"/>
      <c r="M34" s="5"/>
      <c r="N34" s="5"/>
      <c r="O34" s="5"/>
      <c r="P34" s="5"/>
      <c r="Q34" s="5"/>
      <c r="R34" s="5"/>
      <c r="S34" s="5"/>
    </row>
    <row r="35" spans="1:19" ht="22.25" customHeight="1" x14ac:dyDescent="0.2">
      <c r="A35" s="28"/>
      <c r="B35" s="28"/>
      <c r="C35" s="14" t="s">
        <v>43</v>
      </c>
      <c r="D35" s="9">
        <f>-(D32*0.1)</f>
        <v>0</v>
      </c>
      <c r="E35" s="9">
        <f t="shared" ref="E35:J35" si="19">-(E32*0.1)</f>
        <v>-24131250000</v>
      </c>
      <c r="F35" s="9">
        <f t="shared" si="19"/>
        <v>0</v>
      </c>
      <c r="G35" s="9">
        <f t="shared" si="19"/>
        <v>0</v>
      </c>
      <c r="H35" s="9">
        <f t="shared" si="19"/>
        <v>0</v>
      </c>
      <c r="I35" s="9">
        <f t="shared" si="19"/>
        <v>0</v>
      </c>
      <c r="J35" s="9">
        <f t="shared" si="19"/>
        <v>0</v>
      </c>
      <c r="K35" s="5"/>
      <c r="L35" s="5"/>
      <c r="M35" s="5"/>
      <c r="N35" s="5"/>
      <c r="O35" s="5"/>
      <c r="P35" s="5"/>
      <c r="Q35" s="5"/>
      <c r="R35" s="5"/>
      <c r="S35" s="5"/>
    </row>
    <row r="36" spans="1:19" ht="22.25" customHeight="1" x14ac:dyDescent="0.2">
      <c r="A36" s="28"/>
      <c r="B36" s="28"/>
      <c r="C36" s="14" t="s">
        <v>38</v>
      </c>
      <c r="D36" s="9"/>
      <c r="E36" s="9"/>
      <c r="F36" s="9"/>
      <c r="G36" s="9"/>
      <c r="H36" s="9"/>
      <c r="I36" s="9"/>
      <c r="J36" s="9"/>
      <c r="K36" s="5"/>
      <c r="L36" s="5"/>
      <c r="M36" s="5"/>
      <c r="N36" s="5"/>
      <c r="O36" s="5"/>
      <c r="P36" s="5"/>
      <c r="Q36" s="5"/>
      <c r="R36" s="5"/>
      <c r="S36" s="5"/>
    </row>
    <row r="37" spans="1:19" ht="22.25" customHeight="1" x14ac:dyDescent="0.2">
      <c r="A37" s="28"/>
      <c r="B37" s="28"/>
      <c r="C37" s="17" t="s">
        <v>39</v>
      </c>
      <c r="D37" s="18">
        <f t="shared" ref="D37:J37" si="20">D32+D33+D34+D35+D36</f>
        <v>0</v>
      </c>
      <c r="E37" s="18">
        <f t="shared" si="20"/>
        <v>156853125000</v>
      </c>
      <c r="F37" s="18">
        <f t="shared" si="20"/>
        <v>0</v>
      </c>
      <c r="G37" s="18">
        <f t="shared" si="20"/>
        <v>0</v>
      </c>
      <c r="H37" s="18">
        <f t="shared" si="20"/>
        <v>0</v>
      </c>
      <c r="I37" s="18">
        <f t="shared" si="20"/>
        <v>0</v>
      </c>
      <c r="J37" s="18">
        <f t="shared" si="20"/>
        <v>0</v>
      </c>
      <c r="K37" s="5"/>
      <c r="L37" s="5"/>
      <c r="M37" s="5"/>
      <c r="N37" s="5"/>
      <c r="O37" s="5"/>
      <c r="P37" s="5"/>
      <c r="Q37" s="5"/>
      <c r="R37" s="5"/>
      <c r="S37" s="5"/>
    </row>
    <row r="38" spans="1:19" ht="22.25" customHeight="1" thickBot="1" x14ac:dyDescent="0.25">
      <c r="A38" s="29"/>
      <c r="B38" s="29"/>
      <c r="C38" s="16" t="s">
        <v>22</v>
      </c>
      <c r="D38" s="19">
        <f>D32*0.1</f>
        <v>0</v>
      </c>
      <c r="E38" s="19">
        <f t="shared" ref="E38:J38" si="21">E32*0.1</f>
        <v>24131250000</v>
      </c>
      <c r="F38" s="19">
        <f t="shared" si="21"/>
        <v>0</v>
      </c>
      <c r="G38" s="19">
        <f t="shared" si="21"/>
        <v>0</v>
      </c>
      <c r="H38" s="19">
        <f t="shared" si="21"/>
        <v>0</v>
      </c>
      <c r="I38" s="19">
        <f t="shared" si="21"/>
        <v>0</v>
      </c>
      <c r="J38" s="19">
        <f t="shared" si="21"/>
        <v>0</v>
      </c>
      <c r="K38" s="5"/>
      <c r="L38" s="5"/>
      <c r="M38" s="5"/>
      <c r="N38" s="5"/>
      <c r="O38" s="5"/>
      <c r="P38" s="5"/>
      <c r="Q38" s="5"/>
      <c r="R38" s="5"/>
      <c r="S38" s="5"/>
    </row>
    <row r="39" spans="1:19" ht="22.25" customHeight="1" x14ac:dyDescent="0.2">
      <c r="A39" s="27" t="s">
        <v>36</v>
      </c>
      <c r="B39" s="30" t="s">
        <v>46</v>
      </c>
      <c r="C39" s="14" t="s">
        <v>37</v>
      </c>
      <c r="D39" s="9"/>
      <c r="E39" s="9"/>
      <c r="F39" s="9">
        <v>96525000000</v>
      </c>
      <c r="G39" s="9"/>
      <c r="H39" s="9"/>
      <c r="I39" s="9"/>
      <c r="J39" s="9"/>
      <c r="K39" s="5"/>
      <c r="L39" s="5"/>
      <c r="M39" s="5"/>
      <c r="N39" s="5"/>
      <c r="O39" s="5"/>
      <c r="P39" s="5"/>
      <c r="Q39" s="5"/>
      <c r="R39" s="5"/>
      <c r="S39" s="5"/>
    </row>
    <row r="40" spans="1:19" ht="22.25" customHeight="1" x14ac:dyDescent="0.2">
      <c r="A40" s="28"/>
      <c r="B40" s="28"/>
      <c r="C40" s="14" t="s">
        <v>41</v>
      </c>
      <c r="D40" s="9">
        <f>-(D39*0.05)</f>
        <v>0</v>
      </c>
      <c r="E40" s="9">
        <f t="shared" ref="E40:J40" si="22">-(E39*0.05)</f>
        <v>0</v>
      </c>
      <c r="F40" s="9">
        <f t="shared" si="22"/>
        <v>-4826250000</v>
      </c>
      <c r="G40" s="9">
        <f t="shared" si="22"/>
        <v>0</v>
      </c>
      <c r="H40" s="9">
        <f t="shared" si="22"/>
        <v>0</v>
      </c>
      <c r="I40" s="9">
        <f t="shared" si="22"/>
        <v>0</v>
      </c>
      <c r="J40" s="9">
        <f t="shared" si="22"/>
        <v>0</v>
      </c>
      <c r="K40" s="5"/>
      <c r="L40" s="5"/>
      <c r="M40" s="5"/>
      <c r="N40" s="5"/>
      <c r="O40" s="5"/>
      <c r="P40" s="5"/>
      <c r="Q40" s="5"/>
      <c r="R40" s="5"/>
      <c r="S40" s="5"/>
    </row>
    <row r="41" spans="1:19" ht="22.25" customHeight="1" x14ac:dyDescent="0.2">
      <c r="A41" s="28"/>
      <c r="B41" s="28"/>
      <c r="C41" s="14" t="s">
        <v>42</v>
      </c>
      <c r="D41" s="9"/>
      <c r="E41" s="9"/>
      <c r="F41" s="9"/>
      <c r="G41" s="9"/>
      <c r="H41" s="9"/>
      <c r="I41" s="9"/>
      <c r="J41" s="9"/>
      <c r="K41" s="5"/>
      <c r="L41" s="5"/>
      <c r="M41" s="5"/>
      <c r="N41" s="5"/>
      <c r="O41" s="5"/>
      <c r="P41" s="5"/>
      <c r="Q41" s="5"/>
      <c r="R41" s="5"/>
      <c r="S41" s="5"/>
    </row>
    <row r="42" spans="1:19" ht="22.25" customHeight="1" x14ac:dyDescent="0.2">
      <c r="A42" s="28"/>
      <c r="B42" s="28"/>
      <c r="C42" s="14" t="s">
        <v>43</v>
      </c>
      <c r="D42" s="9">
        <f>-(D39*0.1)</f>
        <v>0</v>
      </c>
      <c r="E42" s="9">
        <f t="shared" ref="E42:J42" si="23">-(E39*0.1)</f>
        <v>0</v>
      </c>
      <c r="F42" s="9">
        <f t="shared" si="23"/>
        <v>-9652500000</v>
      </c>
      <c r="G42" s="9">
        <f t="shared" si="23"/>
        <v>0</v>
      </c>
      <c r="H42" s="9">
        <f t="shared" si="23"/>
        <v>0</v>
      </c>
      <c r="I42" s="9">
        <f t="shared" si="23"/>
        <v>0</v>
      </c>
      <c r="J42" s="9">
        <f t="shared" si="23"/>
        <v>0</v>
      </c>
      <c r="K42" s="5"/>
      <c r="L42" s="5"/>
      <c r="M42" s="5"/>
      <c r="N42" s="5"/>
      <c r="O42" s="5"/>
      <c r="P42" s="5"/>
      <c r="Q42" s="5"/>
      <c r="R42" s="5"/>
      <c r="S42" s="5"/>
    </row>
    <row r="43" spans="1:19" ht="22.25" customHeight="1" x14ac:dyDescent="0.2">
      <c r="A43" s="28"/>
      <c r="B43" s="28"/>
      <c r="C43" s="14" t="s">
        <v>38</v>
      </c>
      <c r="D43" s="9"/>
      <c r="E43" s="9"/>
      <c r="F43" s="9"/>
      <c r="G43" s="9"/>
      <c r="H43" s="9"/>
      <c r="I43" s="9"/>
      <c r="J43" s="9"/>
      <c r="K43" s="5"/>
      <c r="L43" s="5"/>
      <c r="M43" s="5"/>
      <c r="N43" s="5"/>
      <c r="O43" s="5"/>
      <c r="P43" s="5"/>
      <c r="Q43" s="5"/>
      <c r="R43" s="5"/>
      <c r="S43" s="5"/>
    </row>
    <row r="44" spans="1:19" ht="22.25" customHeight="1" x14ac:dyDescent="0.2">
      <c r="A44" s="28"/>
      <c r="B44" s="28"/>
      <c r="C44" s="17" t="s">
        <v>39</v>
      </c>
      <c r="D44" s="18">
        <f t="shared" ref="D44:J44" si="24">D39+D40+D41+D42+D43</f>
        <v>0</v>
      </c>
      <c r="E44" s="18">
        <f t="shared" si="24"/>
        <v>0</v>
      </c>
      <c r="F44" s="18">
        <f t="shared" si="24"/>
        <v>82046250000</v>
      </c>
      <c r="G44" s="18">
        <f t="shared" si="24"/>
        <v>0</v>
      </c>
      <c r="H44" s="18">
        <f t="shared" si="24"/>
        <v>0</v>
      </c>
      <c r="I44" s="18">
        <f t="shared" si="24"/>
        <v>0</v>
      </c>
      <c r="J44" s="18">
        <f t="shared" si="24"/>
        <v>0</v>
      </c>
      <c r="K44" s="5"/>
      <c r="L44" s="5"/>
      <c r="M44" s="5"/>
      <c r="N44" s="5"/>
      <c r="O44" s="5"/>
      <c r="P44" s="5"/>
      <c r="Q44" s="5"/>
      <c r="R44" s="5"/>
      <c r="S44" s="5"/>
    </row>
    <row r="45" spans="1:19" ht="22.25" customHeight="1" thickBot="1" x14ac:dyDescent="0.25">
      <c r="A45" s="29"/>
      <c r="B45" s="29"/>
      <c r="C45" s="16" t="s">
        <v>22</v>
      </c>
      <c r="D45" s="19">
        <f>D39*0.1</f>
        <v>0</v>
      </c>
      <c r="E45" s="19">
        <f t="shared" ref="E45:J45" si="25">E39*0.1</f>
        <v>0</v>
      </c>
      <c r="F45" s="19">
        <f t="shared" si="25"/>
        <v>9652500000</v>
      </c>
      <c r="G45" s="19">
        <f t="shared" si="25"/>
        <v>0</v>
      </c>
      <c r="H45" s="19">
        <f t="shared" si="25"/>
        <v>0</v>
      </c>
      <c r="I45" s="19">
        <f t="shared" si="25"/>
        <v>0</v>
      </c>
      <c r="J45" s="19">
        <f t="shared" si="25"/>
        <v>0</v>
      </c>
      <c r="K45" s="5"/>
      <c r="L45" s="5"/>
      <c r="M45" s="5"/>
      <c r="N45" s="5"/>
      <c r="O45" s="5"/>
      <c r="P45" s="5"/>
      <c r="Q45" s="5"/>
      <c r="R45" s="5"/>
      <c r="S45" s="5"/>
    </row>
    <row r="46" spans="1:19" ht="22.25" customHeight="1" x14ac:dyDescent="0.2">
      <c r="A46" s="27" t="s">
        <v>36</v>
      </c>
      <c r="B46" s="30" t="s">
        <v>49</v>
      </c>
      <c r="C46" s="14" t="s">
        <v>37</v>
      </c>
      <c r="D46" s="9"/>
      <c r="E46" s="9"/>
      <c r="F46" s="9">
        <f>241312500000+38017482517</f>
        <v>279329982517</v>
      </c>
      <c r="G46" s="9"/>
      <c r="H46" s="9"/>
      <c r="I46" s="9"/>
      <c r="J46" s="9"/>
      <c r="K46" s="5"/>
      <c r="L46" s="5"/>
      <c r="M46" s="5"/>
      <c r="N46" s="5"/>
      <c r="O46" s="5"/>
      <c r="P46" s="5"/>
      <c r="Q46" s="5"/>
      <c r="R46" s="5"/>
      <c r="S46" s="5"/>
    </row>
    <row r="47" spans="1:19" ht="22.25" customHeight="1" x14ac:dyDescent="0.2">
      <c r="A47" s="28"/>
      <c r="B47" s="28"/>
      <c r="C47" s="14" t="s">
        <v>41</v>
      </c>
      <c r="D47" s="9">
        <f>-(D46*0.05)</f>
        <v>0</v>
      </c>
      <c r="E47" s="9">
        <f t="shared" ref="E47:J47" si="26">-(E46*0.05)</f>
        <v>0</v>
      </c>
      <c r="F47" s="9">
        <f t="shared" si="26"/>
        <v>-13966499125.85</v>
      </c>
      <c r="G47" s="9">
        <f t="shared" si="26"/>
        <v>0</v>
      </c>
      <c r="H47" s="9">
        <f t="shared" si="26"/>
        <v>0</v>
      </c>
      <c r="I47" s="9">
        <f t="shared" si="26"/>
        <v>0</v>
      </c>
      <c r="J47" s="9">
        <f t="shared" si="26"/>
        <v>0</v>
      </c>
      <c r="K47" s="5"/>
      <c r="L47" s="5"/>
      <c r="M47" s="5"/>
      <c r="N47" s="5"/>
      <c r="O47" s="5"/>
      <c r="P47" s="5"/>
      <c r="Q47" s="5"/>
      <c r="R47" s="5"/>
      <c r="S47" s="5"/>
    </row>
    <row r="48" spans="1:19" ht="22.25" customHeight="1" x14ac:dyDescent="0.2">
      <c r="A48" s="28"/>
      <c r="B48" s="28"/>
      <c r="C48" s="14" t="s">
        <v>42</v>
      </c>
      <c r="D48" s="9">
        <f t="shared" ref="D48:E48" si="27">-(D46*0.2)</f>
        <v>0</v>
      </c>
      <c r="E48" s="9">
        <f t="shared" si="27"/>
        <v>0</v>
      </c>
      <c r="F48" s="9">
        <f>-(F46*0.2)</f>
        <v>-55865996503.400002</v>
      </c>
      <c r="G48" s="9">
        <f t="shared" ref="G48:J48" si="28">-(G46*0.2)</f>
        <v>0</v>
      </c>
      <c r="H48" s="9">
        <f t="shared" si="28"/>
        <v>0</v>
      </c>
      <c r="I48" s="9">
        <f t="shared" si="28"/>
        <v>0</v>
      </c>
      <c r="J48" s="9">
        <f t="shared" si="28"/>
        <v>0</v>
      </c>
      <c r="K48" s="5"/>
      <c r="L48" s="5"/>
      <c r="M48" s="5"/>
      <c r="N48" s="5"/>
      <c r="O48" s="5"/>
      <c r="P48" s="5"/>
      <c r="Q48" s="5"/>
      <c r="R48" s="5"/>
      <c r="S48" s="5"/>
    </row>
    <row r="49" spans="1:19" ht="22.25" customHeight="1" x14ac:dyDescent="0.2">
      <c r="A49" s="28"/>
      <c r="B49" s="28"/>
      <c r="C49" s="14" t="s">
        <v>43</v>
      </c>
      <c r="D49" s="9">
        <f>-(D46*0.1)</f>
        <v>0</v>
      </c>
      <c r="E49" s="9">
        <f t="shared" ref="E49:J49" si="29">-(E46*0.1)</f>
        <v>0</v>
      </c>
      <c r="F49" s="9">
        <f t="shared" si="29"/>
        <v>-27932998251.700001</v>
      </c>
      <c r="G49" s="9">
        <f t="shared" si="29"/>
        <v>0</v>
      </c>
      <c r="H49" s="9">
        <f t="shared" si="29"/>
        <v>0</v>
      </c>
      <c r="I49" s="9">
        <f t="shared" si="29"/>
        <v>0</v>
      </c>
      <c r="J49" s="9">
        <f t="shared" si="29"/>
        <v>0</v>
      </c>
      <c r="K49" s="5"/>
      <c r="L49" s="5"/>
      <c r="M49" s="5"/>
      <c r="N49" s="5"/>
      <c r="O49" s="5"/>
      <c r="P49" s="5"/>
      <c r="Q49" s="5"/>
      <c r="R49" s="5"/>
      <c r="S49" s="5"/>
    </row>
    <row r="50" spans="1:19" ht="22.25" customHeight="1" x14ac:dyDescent="0.2">
      <c r="A50" s="28"/>
      <c r="B50" s="28"/>
      <c r="C50" s="14" t="s">
        <v>38</v>
      </c>
      <c r="D50" s="9"/>
      <c r="E50" s="9"/>
      <c r="F50" s="9"/>
      <c r="G50" s="9"/>
      <c r="H50" s="9"/>
      <c r="I50" s="9"/>
      <c r="J50" s="9"/>
      <c r="K50" s="5"/>
      <c r="L50" s="5"/>
      <c r="M50" s="5"/>
      <c r="N50" s="5"/>
      <c r="O50" s="5"/>
      <c r="P50" s="5"/>
      <c r="Q50" s="5"/>
      <c r="R50" s="5"/>
      <c r="S50" s="5"/>
    </row>
    <row r="51" spans="1:19" ht="22.25" customHeight="1" x14ac:dyDescent="0.2">
      <c r="A51" s="28"/>
      <c r="B51" s="28"/>
      <c r="C51" s="17" t="s">
        <v>39</v>
      </c>
      <c r="D51" s="18">
        <f t="shared" ref="D51:J51" si="30">D46+D47+D48+D49+D50</f>
        <v>0</v>
      </c>
      <c r="E51" s="18">
        <f t="shared" si="30"/>
        <v>0</v>
      </c>
      <c r="F51" s="18">
        <f t="shared" si="30"/>
        <v>181564488636.04999</v>
      </c>
      <c r="G51" s="18">
        <f t="shared" si="30"/>
        <v>0</v>
      </c>
      <c r="H51" s="18">
        <f t="shared" si="30"/>
        <v>0</v>
      </c>
      <c r="I51" s="18">
        <f t="shared" si="30"/>
        <v>0</v>
      </c>
      <c r="J51" s="18">
        <f t="shared" si="30"/>
        <v>0</v>
      </c>
      <c r="K51" s="5"/>
      <c r="L51" s="5"/>
      <c r="M51" s="5"/>
      <c r="N51" s="5"/>
      <c r="O51" s="5"/>
      <c r="P51" s="5"/>
      <c r="Q51" s="5"/>
      <c r="R51" s="5"/>
      <c r="S51" s="5"/>
    </row>
    <row r="52" spans="1:19" ht="22.25" customHeight="1" thickBot="1" x14ac:dyDescent="0.25">
      <c r="A52" s="29"/>
      <c r="B52" s="29"/>
      <c r="C52" s="16" t="s">
        <v>22</v>
      </c>
      <c r="D52" s="19">
        <f>D46*0.1</f>
        <v>0</v>
      </c>
      <c r="E52" s="19">
        <f t="shared" ref="E52:J52" si="31">E46*0.1</f>
        <v>0</v>
      </c>
      <c r="F52" s="19">
        <f t="shared" si="31"/>
        <v>27932998251.700001</v>
      </c>
      <c r="G52" s="19">
        <f t="shared" si="31"/>
        <v>0</v>
      </c>
      <c r="H52" s="19">
        <f t="shared" si="31"/>
        <v>0</v>
      </c>
      <c r="I52" s="19">
        <f t="shared" si="31"/>
        <v>0</v>
      </c>
      <c r="J52" s="19">
        <f t="shared" si="31"/>
        <v>0</v>
      </c>
      <c r="K52" s="5"/>
      <c r="L52" s="5"/>
      <c r="M52" s="5"/>
      <c r="N52" s="5"/>
      <c r="O52" s="5"/>
      <c r="P52" s="5"/>
      <c r="Q52" s="5"/>
      <c r="R52" s="5"/>
      <c r="S52" s="5"/>
    </row>
    <row r="53" spans="1:19" ht="22.25" customHeight="1" x14ac:dyDescent="0.2">
      <c r="A53" s="27" t="s">
        <v>36</v>
      </c>
      <c r="B53" s="30" t="s">
        <v>46</v>
      </c>
      <c r="C53" s="14" t="s">
        <v>37</v>
      </c>
      <c r="D53" s="9"/>
      <c r="E53" s="9"/>
      <c r="F53" s="9"/>
      <c r="G53" s="9">
        <v>111731993006.8</v>
      </c>
      <c r="H53" s="9"/>
      <c r="I53" s="9"/>
      <c r="J53" s="9"/>
      <c r="K53" s="5"/>
      <c r="L53" s="5"/>
      <c r="M53" s="5"/>
      <c r="N53" s="5"/>
      <c r="O53" s="5"/>
      <c r="P53" s="5"/>
      <c r="Q53" s="5"/>
      <c r="R53" s="5"/>
      <c r="S53" s="5"/>
    </row>
    <row r="54" spans="1:19" ht="22.25" customHeight="1" x14ac:dyDescent="0.2">
      <c r="A54" s="28"/>
      <c r="B54" s="28"/>
      <c r="C54" s="14" t="s">
        <v>41</v>
      </c>
      <c r="D54" s="9">
        <f>-(D53*0.05)</f>
        <v>0</v>
      </c>
      <c r="E54" s="9">
        <f t="shared" ref="E54:J54" si="32">-(E53*0.05)</f>
        <v>0</v>
      </c>
      <c r="F54" s="9">
        <f t="shared" si="32"/>
        <v>0</v>
      </c>
      <c r="G54" s="9">
        <f t="shared" si="32"/>
        <v>-5586599650.3400002</v>
      </c>
      <c r="H54" s="9">
        <f t="shared" si="32"/>
        <v>0</v>
      </c>
      <c r="I54" s="9">
        <f t="shared" si="32"/>
        <v>0</v>
      </c>
      <c r="J54" s="9">
        <f t="shared" si="32"/>
        <v>0</v>
      </c>
      <c r="K54" s="5"/>
      <c r="L54" s="5"/>
      <c r="M54" s="5"/>
      <c r="N54" s="5"/>
      <c r="O54" s="5"/>
      <c r="P54" s="5"/>
      <c r="Q54" s="5"/>
      <c r="R54" s="5"/>
      <c r="S54" s="5"/>
    </row>
    <row r="55" spans="1:19" ht="22.25" customHeight="1" x14ac:dyDescent="0.2">
      <c r="A55" s="28"/>
      <c r="B55" s="28"/>
      <c r="C55" s="14" t="s">
        <v>42</v>
      </c>
      <c r="D55" s="9"/>
      <c r="E55" s="9"/>
      <c r="F55" s="9"/>
      <c r="G55" s="9"/>
      <c r="H55" s="9"/>
      <c r="I55" s="9"/>
      <c r="J55" s="9"/>
      <c r="K55" s="5"/>
      <c r="L55" s="5"/>
      <c r="M55" s="5"/>
      <c r="N55" s="5"/>
      <c r="O55" s="5"/>
      <c r="P55" s="5"/>
      <c r="Q55" s="5"/>
      <c r="R55" s="5"/>
      <c r="S55" s="5"/>
    </row>
    <row r="56" spans="1:19" ht="22.25" customHeight="1" x14ac:dyDescent="0.2">
      <c r="A56" s="28"/>
      <c r="B56" s="28"/>
      <c r="C56" s="14" t="s">
        <v>43</v>
      </c>
      <c r="D56" s="9">
        <f>-(D53*0.1)</f>
        <v>0</v>
      </c>
      <c r="E56" s="9">
        <f t="shared" ref="E56:J56" si="33">-(E53*0.1)</f>
        <v>0</v>
      </c>
      <c r="F56" s="9">
        <f t="shared" si="33"/>
        <v>0</v>
      </c>
      <c r="G56" s="9">
        <f t="shared" si="33"/>
        <v>-11173199300.68</v>
      </c>
      <c r="H56" s="9">
        <f t="shared" si="33"/>
        <v>0</v>
      </c>
      <c r="I56" s="9">
        <f t="shared" si="33"/>
        <v>0</v>
      </c>
      <c r="J56" s="9">
        <f t="shared" si="33"/>
        <v>0</v>
      </c>
      <c r="K56" s="5"/>
      <c r="L56" s="5"/>
      <c r="M56" s="5"/>
      <c r="N56" s="5"/>
      <c r="O56" s="5"/>
      <c r="P56" s="5"/>
      <c r="Q56" s="5"/>
      <c r="R56" s="5"/>
      <c r="S56" s="5"/>
    </row>
    <row r="57" spans="1:19" ht="22.25" customHeight="1" x14ac:dyDescent="0.2">
      <c r="A57" s="28"/>
      <c r="B57" s="28"/>
      <c r="C57" s="14" t="s">
        <v>38</v>
      </c>
      <c r="D57" s="9"/>
      <c r="E57" s="9"/>
      <c r="F57" s="9"/>
      <c r="G57" s="9"/>
      <c r="H57" s="9"/>
      <c r="I57" s="9"/>
      <c r="J57" s="9"/>
      <c r="K57" s="5"/>
      <c r="L57" s="5"/>
      <c r="M57" s="5"/>
      <c r="N57" s="5"/>
      <c r="O57" s="5"/>
      <c r="P57" s="5"/>
      <c r="Q57" s="5"/>
      <c r="R57" s="5"/>
      <c r="S57" s="5"/>
    </row>
    <row r="58" spans="1:19" ht="22.25" customHeight="1" x14ac:dyDescent="0.2">
      <c r="A58" s="28"/>
      <c r="B58" s="28"/>
      <c r="C58" s="17" t="s">
        <v>39</v>
      </c>
      <c r="D58" s="18">
        <f t="shared" ref="D58:J58" si="34">D53+D54+D55+D56+D57</f>
        <v>0</v>
      </c>
      <c r="E58" s="18">
        <f t="shared" si="34"/>
        <v>0</v>
      </c>
      <c r="F58" s="18">
        <f t="shared" si="34"/>
        <v>0</v>
      </c>
      <c r="G58" s="18">
        <f t="shared" si="34"/>
        <v>94972194055.779999</v>
      </c>
      <c r="H58" s="18">
        <f t="shared" si="34"/>
        <v>0</v>
      </c>
      <c r="I58" s="18">
        <f t="shared" si="34"/>
        <v>0</v>
      </c>
      <c r="J58" s="18">
        <f t="shared" si="34"/>
        <v>0</v>
      </c>
      <c r="K58" s="5"/>
      <c r="L58" s="5"/>
      <c r="M58" s="5"/>
      <c r="N58" s="5"/>
      <c r="O58" s="5"/>
      <c r="P58" s="5"/>
      <c r="Q58" s="5"/>
      <c r="R58" s="5"/>
      <c r="S58" s="5"/>
    </row>
    <row r="59" spans="1:19" ht="22.25" customHeight="1" thickBot="1" x14ac:dyDescent="0.25">
      <c r="A59" s="29"/>
      <c r="B59" s="29"/>
      <c r="C59" s="16" t="s">
        <v>22</v>
      </c>
      <c r="D59" s="19">
        <f>D53*0.1</f>
        <v>0</v>
      </c>
      <c r="E59" s="19">
        <f t="shared" ref="E59:J59" si="35">E53*0.1</f>
        <v>0</v>
      </c>
      <c r="F59" s="19">
        <f t="shared" si="35"/>
        <v>0</v>
      </c>
      <c r="G59" s="19">
        <f t="shared" si="35"/>
        <v>11173199300.68</v>
      </c>
      <c r="H59" s="19">
        <f t="shared" si="35"/>
        <v>0</v>
      </c>
      <c r="I59" s="19">
        <f t="shared" si="35"/>
        <v>0</v>
      </c>
      <c r="J59" s="19">
        <f t="shared" si="35"/>
        <v>0</v>
      </c>
      <c r="K59" s="5"/>
      <c r="L59" s="5"/>
      <c r="M59" s="5"/>
      <c r="N59" s="5"/>
      <c r="O59" s="5"/>
      <c r="P59" s="5"/>
      <c r="Q59" s="5"/>
      <c r="R59" s="5"/>
      <c r="S59" s="5"/>
    </row>
    <row r="60" spans="1:19" ht="22.25" customHeight="1" x14ac:dyDescent="0.2">
      <c r="A60" s="27" t="s">
        <v>36</v>
      </c>
      <c r="B60" s="30" t="s">
        <v>50</v>
      </c>
      <c r="C60" s="14" t="s">
        <v>37</v>
      </c>
      <c r="D60" s="9"/>
      <c r="E60" s="9"/>
      <c r="F60" s="9"/>
      <c r="G60" s="9"/>
      <c r="H60" s="9"/>
      <c r="I60" s="9">
        <v>279329982517</v>
      </c>
      <c r="J60" s="9"/>
      <c r="K60" s="5"/>
      <c r="L60" s="5"/>
      <c r="M60" s="5"/>
      <c r="N60" s="5"/>
      <c r="O60" s="5"/>
      <c r="P60" s="5"/>
      <c r="Q60" s="5"/>
      <c r="R60" s="5"/>
      <c r="S60" s="5"/>
    </row>
    <row r="61" spans="1:19" ht="22.25" customHeight="1" x14ac:dyDescent="0.2">
      <c r="A61" s="28"/>
      <c r="B61" s="28"/>
      <c r="C61" s="14" t="s">
        <v>41</v>
      </c>
      <c r="D61" s="9">
        <f>-(D60*0.05)</f>
        <v>0</v>
      </c>
      <c r="E61" s="9">
        <f t="shared" ref="E61:J61" si="36">-(E60*0.05)</f>
        <v>0</v>
      </c>
      <c r="F61" s="9">
        <f t="shared" si="36"/>
        <v>0</v>
      </c>
      <c r="G61" s="9">
        <f t="shared" si="36"/>
        <v>0</v>
      </c>
      <c r="H61" s="9">
        <f t="shared" si="36"/>
        <v>0</v>
      </c>
      <c r="I61" s="9">
        <f t="shared" si="36"/>
        <v>-13966499125.85</v>
      </c>
      <c r="J61" s="9">
        <f t="shared" si="36"/>
        <v>0</v>
      </c>
      <c r="K61" s="5"/>
      <c r="L61" s="5"/>
      <c r="M61" s="5"/>
      <c r="N61" s="5"/>
      <c r="O61" s="5"/>
      <c r="P61" s="5"/>
      <c r="Q61" s="5"/>
      <c r="R61" s="5"/>
      <c r="S61" s="5"/>
    </row>
    <row r="62" spans="1:19" ht="22.25" customHeight="1" x14ac:dyDescent="0.2">
      <c r="A62" s="28"/>
      <c r="B62" s="28"/>
      <c r="C62" s="14" t="s">
        <v>42</v>
      </c>
      <c r="D62" s="9">
        <f t="shared" ref="D62:J62" si="37">-(D60*0.2)</f>
        <v>0</v>
      </c>
      <c r="E62" s="9">
        <f t="shared" si="37"/>
        <v>0</v>
      </c>
      <c r="F62" s="9">
        <f t="shared" si="37"/>
        <v>0</v>
      </c>
      <c r="G62" s="9">
        <f t="shared" si="37"/>
        <v>0</v>
      </c>
      <c r="H62" s="9">
        <f t="shared" si="37"/>
        <v>0</v>
      </c>
      <c r="I62" s="9">
        <f t="shared" si="37"/>
        <v>-55865996503.400002</v>
      </c>
      <c r="J62" s="9">
        <f t="shared" si="37"/>
        <v>0</v>
      </c>
      <c r="K62" s="5"/>
      <c r="L62" s="5"/>
      <c r="M62" s="5"/>
      <c r="N62" s="5"/>
      <c r="O62" s="5"/>
      <c r="P62" s="5"/>
      <c r="Q62" s="5"/>
      <c r="R62" s="5"/>
      <c r="S62" s="5"/>
    </row>
    <row r="63" spans="1:19" ht="22.25" customHeight="1" x14ac:dyDescent="0.2">
      <c r="A63" s="28"/>
      <c r="B63" s="28"/>
      <c r="C63" s="14" t="s">
        <v>43</v>
      </c>
      <c r="D63" s="9">
        <f>-(D60*0.1)</f>
        <v>0</v>
      </c>
      <c r="E63" s="9">
        <f t="shared" ref="E63:J63" si="38">-(E60*0.1)</f>
        <v>0</v>
      </c>
      <c r="F63" s="9">
        <f t="shared" si="38"/>
        <v>0</v>
      </c>
      <c r="G63" s="9">
        <f t="shared" si="38"/>
        <v>0</v>
      </c>
      <c r="H63" s="9">
        <f t="shared" si="38"/>
        <v>0</v>
      </c>
      <c r="I63" s="9">
        <f t="shared" si="38"/>
        <v>-27932998251.700001</v>
      </c>
      <c r="J63" s="9">
        <f t="shared" si="38"/>
        <v>0</v>
      </c>
      <c r="K63" s="5"/>
      <c r="L63" s="5"/>
      <c r="M63" s="5"/>
      <c r="N63" s="5"/>
      <c r="O63" s="5"/>
      <c r="P63" s="5"/>
      <c r="Q63" s="5"/>
      <c r="R63" s="5"/>
      <c r="S63" s="5"/>
    </row>
    <row r="64" spans="1:19" ht="22.25" customHeight="1" x14ac:dyDescent="0.2">
      <c r="A64" s="28"/>
      <c r="B64" s="28"/>
      <c r="C64" s="14" t="s">
        <v>38</v>
      </c>
      <c r="D64" s="9"/>
      <c r="E64" s="9"/>
      <c r="F64" s="9"/>
      <c r="G64" s="9"/>
      <c r="H64" s="9"/>
      <c r="I64" s="9"/>
      <c r="J64" s="9"/>
      <c r="K64" s="5"/>
      <c r="L64" s="5"/>
      <c r="M64" s="5"/>
      <c r="N64" s="5"/>
      <c r="O64" s="5"/>
      <c r="P64" s="5"/>
      <c r="Q64" s="5"/>
      <c r="R64" s="5"/>
      <c r="S64" s="5"/>
    </row>
    <row r="65" spans="1:19" ht="22.25" customHeight="1" x14ac:dyDescent="0.2">
      <c r="A65" s="28"/>
      <c r="B65" s="28"/>
      <c r="C65" s="17" t="s">
        <v>39</v>
      </c>
      <c r="D65" s="18">
        <f t="shared" ref="D65:J65" si="39">D60+D61+D62+D63+D64</f>
        <v>0</v>
      </c>
      <c r="E65" s="18">
        <f t="shared" si="39"/>
        <v>0</v>
      </c>
      <c r="F65" s="18">
        <f t="shared" si="39"/>
        <v>0</v>
      </c>
      <c r="G65" s="18">
        <f t="shared" si="39"/>
        <v>0</v>
      </c>
      <c r="H65" s="18">
        <f t="shared" si="39"/>
        <v>0</v>
      </c>
      <c r="I65" s="18">
        <f t="shared" si="39"/>
        <v>181564488636.04999</v>
      </c>
      <c r="J65" s="18">
        <f t="shared" si="39"/>
        <v>0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 ht="22.25" customHeight="1" thickBot="1" x14ac:dyDescent="0.25">
      <c r="A66" s="29"/>
      <c r="B66" s="29"/>
      <c r="C66" s="16" t="s">
        <v>22</v>
      </c>
      <c r="D66" s="19">
        <f>D60*0.1</f>
        <v>0</v>
      </c>
      <c r="E66" s="19">
        <f t="shared" ref="E66:J66" si="40">E60*0.1</f>
        <v>0</v>
      </c>
      <c r="F66" s="19">
        <f t="shared" si="40"/>
        <v>0</v>
      </c>
      <c r="G66" s="19">
        <f t="shared" si="40"/>
        <v>0</v>
      </c>
      <c r="H66" s="19">
        <f t="shared" si="40"/>
        <v>0</v>
      </c>
      <c r="I66" s="19">
        <f t="shared" si="40"/>
        <v>27932998251.700001</v>
      </c>
      <c r="J66" s="19">
        <f t="shared" si="40"/>
        <v>0</v>
      </c>
      <c r="K66" s="5"/>
      <c r="L66" s="5"/>
      <c r="M66" s="5"/>
      <c r="N66" s="5"/>
      <c r="O66" s="5"/>
      <c r="P66" s="5"/>
      <c r="Q66" s="5"/>
      <c r="R66" s="5"/>
      <c r="S66" s="5"/>
    </row>
    <row r="67" spans="1:19" ht="22.25" customHeight="1" x14ac:dyDescent="0.2">
      <c r="A67" s="27"/>
      <c r="B67" s="30"/>
      <c r="C67" s="14" t="s">
        <v>37</v>
      </c>
      <c r="D67" s="9"/>
      <c r="E67" s="9"/>
      <c r="F67" s="9"/>
      <c r="G67" s="9"/>
      <c r="H67" s="9"/>
      <c r="I67" s="9"/>
      <c r="J67" s="9"/>
      <c r="K67" s="5"/>
      <c r="L67" s="5"/>
      <c r="M67" s="5"/>
      <c r="N67" s="5"/>
      <c r="O67" s="5"/>
      <c r="P67" s="5"/>
      <c r="Q67" s="5"/>
      <c r="R67" s="5"/>
      <c r="S67" s="5"/>
    </row>
    <row r="68" spans="1:19" ht="22.25" customHeight="1" x14ac:dyDescent="0.2">
      <c r="A68" s="28"/>
      <c r="B68" s="28"/>
      <c r="C68" s="14" t="s">
        <v>41</v>
      </c>
      <c r="D68" s="9">
        <f>-(D67*0.05)</f>
        <v>0</v>
      </c>
      <c r="E68" s="9">
        <f t="shared" ref="E68:J68" si="41">-(E67*0.05)</f>
        <v>0</v>
      </c>
      <c r="F68" s="9">
        <f t="shared" si="41"/>
        <v>0</v>
      </c>
      <c r="G68" s="9">
        <f t="shared" si="41"/>
        <v>0</v>
      </c>
      <c r="H68" s="9">
        <f t="shared" si="41"/>
        <v>0</v>
      </c>
      <c r="I68" s="9">
        <f t="shared" si="41"/>
        <v>0</v>
      </c>
      <c r="J68" s="9">
        <f t="shared" si="41"/>
        <v>0</v>
      </c>
      <c r="K68" s="5"/>
      <c r="L68" s="5"/>
      <c r="M68" s="5"/>
      <c r="N68" s="5"/>
      <c r="O68" s="5"/>
      <c r="P68" s="5"/>
      <c r="Q68" s="5"/>
      <c r="R68" s="5"/>
      <c r="S68" s="5"/>
    </row>
    <row r="69" spans="1:19" ht="22.25" customHeight="1" x14ac:dyDescent="0.2">
      <c r="A69" s="28"/>
      <c r="B69" s="28"/>
      <c r="C69" s="14" t="s">
        <v>42</v>
      </c>
      <c r="D69" s="9"/>
      <c r="E69" s="9"/>
      <c r="F69" s="9"/>
      <c r="G69" s="9"/>
      <c r="H69" s="9"/>
      <c r="I69" s="9"/>
      <c r="J69" s="9"/>
      <c r="K69" s="5"/>
      <c r="L69" s="5"/>
      <c r="M69" s="5"/>
      <c r="N69" s="5"/>
      <c r="O69" s="5"/>
      <c r="P69" s="5"/>
      <c r="Q69" s="5"/>
      <c r="R69" s="5"/>
      <c r="S69" s="5"/>
    </row>
    <row r="70" spans="1:19" ht="22.25" customHeight="1" x14ac:dyDescent="0.2">
      <c r="A70" s="28"/>
      <c r="B70" s="28"/>
      <c r="C70" s="14" t="s">
        <v>43</v>
      </c>
      <c r="D70" s="9">
        <f>-(D67*0.1)</f>
        <v>0</v>
      </c>
      <c r="E70" s="9">
        <f t="shared" ref="E70:J70" si="42">-(E67*0.1)</f>
        <v>0</v>
      </c>
      <c r="F70" s="9">
        <f t="shared" si="42"/>
        <v>0</v>
      </c>
      <c r="G70" s="9">
        <f t="shared" si="42"/>
        <v>0</v>
      </c>
      <c r="H70" s="9">
        <f t="shared" si="42"/>
        <v>0</v>
      </c>
      <c r="I70" s="9">
        <f t="shared" si="42"/>
        <v>0</v>
      </c>
      <c r="J70" s="9">
        <f t="shared" si="42"/>
        <v>0</v>
      </c>
      <c r="K70" s="5"/>
      <c r="L70" s="5"/>
      <c r="M70" s="5"/>
      <c r="N70" s="5"/>
      <c r="O70" s="5"/>
      <c r="P70" s="5"/>
      <c r="Q70" s="5"/>
      <c r="R70" s="5"/>
      <c r="S70" s="5"/>
    </row>
    <row r="71" spans="1:19" ht="22.25" customHeight="1" x14ac:dyDescent="0.2">
      <c r="A71" s="28"/>
      <c r="B71" s="28"/>
      <c r="C71" s="14" t="s">
        <v>38</v>
      </c>
      <c r="D71" s="9"/>
      <c r="E71" s="9"/>
      <c r="F71" s="9"/>
      <c r="G71" s="9"/>
      <c r="H71" s="9"/>
      <c r="I71" s="9"/>
      <c r="J71" s="9"/>
      <c r="K71" s="5"/>
      <c r="L71" s="5"/>
      <c r="M71" s="5"/>
      <c r="N71" s="5"/>
      <c r="O71" s="5"/>
      <c r="P71" s="5"/>
      <c r="Q71" s="5"/>
      <c r="R71" s="5"/>
      <c r="S71" s="5"/>
    </row>
    <row r="72" spans="1:19" ht="22.25" customHeight="1" x14ac:dyDescent="0.2">
      <c r="A72" s="28"/>
      <c r="B72" s="28"/>
      <c r="C72" s="17" t="s">
        <v>39</v>
      </c>
      <c r="D72" s="18">
        <f t="shared" ref="D72:J72" si="43">D67+D68+D69+D70+D71</f>
        <v>0</v>
      </c>
      <c r="E72" s="18">
        <f t="shared" si="43"/>
        <v>0</v>
      </c>
      <c r="F72" s="18">
        <f t="shared" si="43"/>
        <v>0</v>
      </c>
      <c r="G72" s="18">
        <f t="shared" si="43"/>
        <v>0</v>
      </c>
      <c r="H72" s="18">
        <f t="shared" si="43"/>
        <v>0</v>
      </c>
      <c r="I72" s="18">
        <f t="shared" si="43"/>
        <v>0</v>
      </c>
      <c r="J72" s="18">
        <f t="shared" si="43"/>
        <v>0</v>
      </c>
      <c r="K72" s="5"/>
      <c r="L72" s="5"/>
      <c r="M72" s="5"/>
      <c r="N72" s="5"/>
      <c r="O72" s="5"/>
      <c r="P72" s="5"/>
      <c r="Q72" s="5"/>
      <c r="R72" s="5"/>
      <c r="S72" s="5"/>
    </row>
    <row r="73" spans="1:19" ht="22.25" customHeight="1" thickBot="1" x14ac:dyDescent="0.25">
      <c r="A73" s="29"/>
      <c r="B73" s="29"/>
      <c r="C73" s="16" t="s">
        <v>22</v>
      </c>
      <c r="D73" s="19">
        <f>D67*0.1</f>
        <v>0</v>
      </c>
      <c r="E73" s="19">
        <f t="shared" ref="E73:J73" si="44">E67*0.1</f>
        <v>0</v>
      </c>
      <c r="F73" s="19">
        <f t="shared" si="44"/>
        <v>0</v>
      </c>
      <c r="G73" s="19">
        <f t="shared" si="44"/>
        <v>0</v>
      </c>
      <c r="H73" s="19">
        <f t="shared" si="44"/>
        <v>0</v>
      </c>
      <c r="I73" s="19">
        <f t="shared" si="44"/>
        <v>0</v>
      </c>
      <c r="J73" s="19">
        <f t="shared" si="44"/>
        <v>0</v>
      </c>
      <c r="K73" s="5"/>
      <c r="L73" s="5"/>
      <c r="M73" s="5"/>
      <c r="N73" s="5"/>
      <c r="O73" s="5"/>
      <c r="P73" s="5"/>
      <c r="Q73" s="5"/>
      <c r="R73" s="5"/>
      <c r="S73" s="5"/>
    </row>
    <row r="74" spans="1:19" ht="22.25" customHeight="1" x14ac:dyDescent="0.2">
      <c r="A74" s="27"/>
      <c r="B74" s="30"/>
      <c r="C74" s="14" t="s">
        <v>37</v>
      </c>
      <c r="D74" s="9"/>
      <c r="E74" s="9"/>
      <c r="F74" s="9"/>
      <c r="G74" s="9"/>
      <c r="H74" s="9"/>
      <c r="I74" s="9"/>
      <c r="J74" s="9"/>
      <c r="K74" s="5"/>
      <c r="L74" s="5"/>
      <c r="M74" s="5"/>
      <c r="N74" s="5"/>
      <c r="O74" s="5"/>
      <c r="P74" s="5"/>
      <c r="Q74" s="5"/>
      <c r="R74" s="5"/>
      <c r="S74" s="5"/>
    </row>
    <row r="75" spans="1:19" ht="22.25" customHeight="1" x14ac:dyDescent="0.2">
      <c r="A75" s="28"/>
      <c r="B75" s="28"/>
      <c r="C75" s="14" t="s">
        <v>41</v>
      </c>
      <c r="D75" s="9">
        <f>-(D74*0.05)</f>
        <v>0</v>
      </c>
      <c r="E75" s="9">
        <f t="shared" ref="E75:J75" si="45">-(E74*0.05)</f>
        <v>0</v>
      </c>
      <c r="F75" s="9">
        <f t="shared" si="45"/>
        <v>0</v>
      </c>
      <c r="G75" s="9">
        <f t="shared" si="45"/>
        <v>0</v>
      </c>
      <c r="H75" s="9">
        <f t="shared" si="45"/>
        <v>0</v>
      </c>
      <c r="I75" s="9">
        <f t="shared" si="45"/>
        <v>0</v>
      </c>
      <c r="J75" s="9">
        <f t="shared" si="45"/>
        <v>0</v>
      </c>
      <c r="K75" s="5"/>
      <c r="L75" s="5"/>
      <c r="M75" s="5"/>
      <c r="N75" s="5"/>
      <c r="O75" s="5"/>
      <c r="P75" s="5"/>
      <c r="Q75" s="5"/>
      <c r="R75" s="5"/>
      <c r="S75" s="5"/>
    </row>
    <row r="76" spans="1:19" ht="22.25" customHeight="1" x14ac:dyDescent="0.2">
      <c r="A76" s="28"/>
      <c r="B76" s="28"/>
      <c r="C76" s="14" t="s">
        <v>42</v>
      </c>
      <c r="D76" s="9"/>
      <c r="E76" s="9"/>
      <c r="F76" s="9"/>
      <c r="G76" s="9"/>
      <c r="H76" s="9"/>
      <c r="I76" s="9"/>
      <c r="J76" s="9"/>
      <c r="K76" s="5"/>
      <c r="L76" s="5"/>
      <c r="M76" s="5"/>
      <c r="N76" s="5"/>
      <c r="O76" s="5"/>
      <c r="P76" s="5"/>
      <c r="Q76" s="5"/>
      <c r="R76" s="5"/>
      <c r="S76" s="5"/>
    </row>
    <row r="77" spans="1:19" ht="22.25" customHeight="1" x14ac:dyDescent="0.2">
      <c r="A77" s="28"/>
      <c r="B77" s="28"/>
      <c r="C77" s="14" t="s">
        <v>43</v>
      </c>
      <c r="D77" s="9">
        <f>-(D74*0.1)</f>
        <v>0</v>
      </c>
      <c r="E77" s="9">
        <f t="shared" ref="E77:J77" si="46">-(E74*0.1)</f>
        <v>0</v>
      </c>
      <c r="F77" s="9">
        <f t="shared" si="46"/>
        <v>0</v>
      </c>
      <c r="G77" s="9">
        <f t="shared" si="46"/>
        <v>0</v>
      </c>
      <c r="H77" s="9">
        <f t="shared" si="46"/>
        <v>0</v>
      </c>
      <c r="I77" s="9">
        <f t="shared" si="46"/>
        <v>0</v>
      </c>
      <c r="J77" s="9">
        <f t="shared" si="46"/>
        <v>0</v>
      </c>
      <c r="K77" s="5"/>
      <c r="L77" s="5"/>
      <c r="M77" s="5"/>
      <c r="N77" s="5"/>
      <c r="O77" s="5"/>
      <c r="P77" s="5"/>
      <c r="Q77" s="5"/>
      <c r="R77" s="5"/>
      <c r="S77" s="5"/>
    </row>
    <row r="78" spans="1:19" ht="22.25" customHeight="1" x14ac:dyDescent="0.2">
      <c r="A78" s="28"/>
      <c r="B78" s="28"/>
      <c r="C78" s="14" t="s">
        <v>38</v>
      </c>
      <c r="D78" s="9"/>
      <c r="E78" s="9"/>
      <c r="F78" s="9"/>
      <c r="G78" s="9"/>
      <c r="H78" s="9"/>
      <c r="I78" s="9"/>
      <c r="J78" s="9"/>
      <c r="K78" s="5"/>
      <c r="L78" s="5"/>
      <c r="M78" s="5"/>
      <c r="N78" s="5"/>
      <c r="O78" s="5"/>
      <c r="P78" s="5"/>
      <c r="Q78" s="5"/>
      <c r="R78" s="5"/>
      <c r="S78" s="5"/>
    </row>
    <row r="79" spans="1:19" ht="22.25" customHeight="1" x14ac:dyDescent="0.2">
      <c r="A79" s="28"/>
      <c r="B79" s="28"/>
      <c r="C79" s="17" t="s">
        <v>39</v>
      </c>
      <c r="D79" s="18">
        <f t="shared" ref="D79:J79" si="47">D74+D75+D76+D77+D78</f>
        <v>0</v>
      </c>
      <c r="E79" s="18">
        <f t="shared" si="47"/>
        <v>0</v>
      </c>
      <c r="F79" s="18">
        <f t="shared" si="47"/>
        <v>0</v>
      </c>
      <c r="G79" s="18">
        <f t="shared" si="47"/>
        <v>0</v>
      </c>
      <c r="H79" s="18">
        <f t="shared" si="47"/>
        <v>0</v>
      </c>
      <c r="I79" s="18">
        <f t="shared" si="47"/>
        <v>0</v>
      </c>
      <c r="J79" s="18">
        <f t="shared" si="47"/>
        <v>0</v>
      </c>
      <c r="K79" s="5"/>
      <c r="L79" s="5"/>
      <c r="M79" s="5"/>
      <c r="N79" s="5"/>
      <c r="O79" s="5"/>
      <c r="P79" s="5"/>
      <c r="Q79" s="5"/>
      <c r="R79" s="5"/>
      <c r="S79" s="5"/>
    </row>
    <row r="80" spans="1:19" ht="22.25" customHeight="1" thickBot="1" x14ac:dyDescent="0.25">
      <c r="A80" s="29"/>
      <c r="B80" s="29"/>
      <c r="C80" s="16" t="s">
        <v>22</v>
      </c>
      <c r="D80" s="19">
        <f>D74*0.1</f>
        <v>0</v>
      </c>
      <c r="E80" s="19">
        <f t="shared" ref="E80:J80" si="48">E74*0.1</f>
        <v>0</v>
      </c>
      <c r="F80" s="19">
        <f t="shared" si="48"/>
        <v>0</v>
      </c>
      <c r="G80" s="19">
        <f t="shared" si="48"/>
        <v>0</v>
      </c>
      <c r="H80" s="19">
        <f t="shared" si="48"/>
        <v>0</v>
      </c>
      <c r="I80" s="19">
        <f t="shared" si="48"/>
        <v>0</v>
      </c>
      <c r="J80" s="19">
        <f t="shared" si="48"/>
        <v>0</v>
      </c>
      <c r="K80" s="5"/>
      <c r="L80" s="5"/>
      <c r="M80" s="5"/>
      <c r="N80" s="5"/>
      <c r="O80" s="5"/>
      <c r="P80" s="5"/>
      <c r="Q80" s="5"/>
      <c r="R80" s="5"/>
      <c r="S80" s="5"/>
    </row>
    <row r="81" spans="1:19" ht="22.25" customHeight="1" x14ac:dyDescent="0.2">
      <c r="A81" s="27"/>
      <c r="B81" s="30"/>
      <c r="C81" s="14" t="s">
        <v>37</v>
      </c>
      <c r="D81" s="9"/>
      <c r="E81" s="9"/>
      <c r="F81" s="9"/>
      <c r="G81" s="9"/>
      <c r="H81" s="9"/>
      <c r="I81" s="9"/>
      <c r="J81" s="9"/>
      <c r="K81" s="5"/>
      <c r="L81" s="5"/>
      <c r="M81" s="5"/>
      <c r="N81" s="5"/>
      <c r="O81" s="5"/>
      <c r="P81" s="5"/>
      <c r="Q81" s="5"/>
      <c r="R81" s="5"/>
      <c r="S81" s="5"/>
    </row>
    <row r="82" spans="1:19" ht="22.25" customHeight="1" x14ac:dyDescent="0.2">
      <c r="A82" s="28"/>
      <c r="B82" s="28"/>
      <c r="C82" s="14" t="s">
        <v>41</v>
      </c>
      <c r="D82" s="9">
        <f>-(D81*0.05)</f>
        <v>0</v>
      </c>
      <c r="E82" s="9">
        <f t="shared" ref="E82:J82" si="49">-(E81*0.05)</f>
        <v>0</v>
      </c>
      <c r="F82" s="9">
        <f t="shared" si="49"/>
        <v>0</v>
      </c>
      <c r="G82" s="9">
        <f t="shared" si="49"/>
        <v>0</v>
      </c>
      <c r="H82" s="9">
        <f t="shared" si="49"/>
        <v>0</v>
      </c>
      <c r="I82" s="9">
        <f t="shared" si="49"/>
        <v>0</v>
      </c>
      <c r="J82" s="9">
        <f t="shared" si="49"/>
        <v>0</v>
      </c>
      <c r="K82" s="5"/>
      <c r="L82" s="5"/>
      <c r="M82" s="5"/>
      <c r="N82" s="5"/>
      <c r="O82" s="5"/>
      <c r="P82" s="5"/>
      <c r="Q82" s="5"/>
      <c r="R82" s="5"/>
      <c r="S82" s="5"/>
    </row>
    <row r="83" spans="1:19" ht="22.25" customHeight="1" x14ac:dyDescent="0.2">
      <c r="A83" s="28"/>
      <c r="B83" s="28"/>
      <c r="C83" s="14" t="s">
        <v>42</v>
      </c>
      <c r="D83" s="9"/>
      <c r="E83" s="9"/>
      <c r="F83" s="9"/>
      <c r="G83" s="9"/>
      <c r="H83" s="9"/>
      <c r="I83" s="9"/>
      <c r="J83" s="9"/>
      <c r="K83" s="5"/>
      <c r="L83" s="5"/>
      <c r="M83" s="5"/>
      <c r="N83" s="5"/>
      <c r="O83" s="5"/>
      <c r="P83" s="5"/>
      <c r="Q83" s="5"/>
      <c r="R83" s="5"/>
      <c r="S83" s="5"/>
    </row>
    <row r="84" spans="1:19" ht="22.25" customHeight="1" x14ac:dyDescent="0.2">
      <c r="A84" s="28"/>
      <c r="B84" s="28"/>
      <c r="C84" s="14" t="s">
        <v>43</v>
      </c>
      <c r="D84" s="9">
        <f>-(D81*0.1)</f>
        <v>0</v>
      </c>
      <c r="E84" s="9">
        <f t="shared" ref="E84:J84" si="50">-(E81*0.1)</f>
        <v>0</v>
      </c>
      <c r="F84" s="9">
        <f t="shared" si="50"/>
        <v>0</v>
      </c>
      <c r="G84" s="9">
        <f t="shared" si="50"/>
        <v>0</v>
      </c>
      <c r="H84" s="9">
        <f t="shared" si="50"/>
        <v>0</v>
      </c>
      <c r="I84" s="9">
        <f t="shared" si="50"/>
        <v>0</v>
      </c>
      <c r="J84" s="9">
        <f t="shared" si="50"/>
        <v>0</v>
      </c>
      <c r="K84" s="5"/>
      <c r="L84" s="5"/>
      <c r="M84" s="5"/>
      <c r="N84" s="5"/>
      <c r="O84" s="5"/>
      <c r="P84" s="5"/>
      <c r="Q84" s="5"/>
      <c r="R84" s="5"/>
      <c r="S84" s="5"/>
    </row>
    <row r="85" spans="1:19" ht="22.25" customHeight="1" x14ac:dyDescent="0.2">
      <c r="A85" s="28"/>
      <c r="B85" s="28"/>
      <c r="C85" s="14" t="s">
        <v>38</v>
      </c>
      <c r="D85" s="9"/>
      <c r="E85" s="9"/>
      <c r="F85" s="9"/>
      <c r="G85" s="9"/>
      <c r="H85" s="9"/>
      <c r="I85" s="9"/>
      <c r="J85" s="9"/>
      <c r="K85" s="5"/>
      <c r="L85" s="5"/>
      <c r="M85" s="5"/>
      <c r="N85" s="5"/>
      <c r="O85" s="5"/>
      <c r="P85" s="5"/>
      <c r="Q85" s="5"/>
      <c r="R85" s="5"/>
      <c r="S85" s="5"/>
    </row>
    <row r="86" spans="1:19" ht="22.25" customHeight="1" x14ac:dyDescent="0.2">
      <c r="A86" s="28"/>
      <c r="B86" s="28"/>
      <c r="C86" s="17" t="s">
        <v>39</v>
      </c>
      <c r="D86" s="18">
        <f t="shared" ref="D86:J86" si="51">D81+D82+D83+D84+D85</f>
        <v>0</v>
      </c>
      <c r="E86" s="18">
        <f t="shared" si="51"/>
        <v>0</v>
      </c>
      <c r="F86" s="18">
        <f t="shared" si="51"/>
        <v>0</v>
      </c>
      <c r="G86" s="18">
        <f t="shared" si="51"/>
        <v>0</v>
      </c>
      <c r="H86" s="18">
        <f t="shared" si="51"/>
        <v>0</v>
      </c>
      <c r="I86" s="18">
        <f t="shared" si="51"/>
        <v>0</v>
      </c>
      <c r="J86" s="18">
        <f t="shared" si="51"/>
        <v>0</v>
      </c>
      <c r="K86" s="5"/>
      <c r="L86" s="5"/>
      <c r="M86" s="5"/>
      <c r="N86" s="5"/>
      <c r="O86" s="5"/>
      <c r="P86" s="5"/>
      <c r="Q86" s="5"/>
      <c r="R86" s="5"/>
      <c r="S86" s="5"/>
    </row>
    <row r="87" spans="1:19" ht="22.25" customHeight="1" thickBot="1" x14ac:dyDescent="0.25">
      <c r="A87" s="29"/>
      <c r="B87" s="29"/>
      <c r="C87" s="16" t="s">
        <v>22</v>
      </c>
      <c r="D87" s="19">
        <f>D81*0.1</f>
        <v>0</v>
      </c>
      <c r="E87" s="19">
        <f t="shared" ref="E87:J87" si="52">E81*0.1</f>
        <v>0</v>
      </c>
      <c r="F87" s="19">
        <f t="shared" si="52"/>
        <v>0</v>
      </c>
      <c r="G87" s="19">
        <f t="shared" si="52"/>
        <v>0</v>
      </c>
      <c r="H87" s="19">
        <f t="shared" si="52"/>
        <v>0</v>
      </c>
      <c r="I87" s="19">
        <f t="shared" si="52"/>
        <v>0</v>
      </c>
      <c r="J87" s="19">
        <f t="shared" si="52"/>
        <v>0</v>
      </c>
      <c r="K87" s="5"/>
      <c r="L87" s="5"/>
      <c r="M87" s="5"/>
      <c r="N87" s="5"/>
      <c r="O87" s="5"/>
      <c r="P87" s="5"/>
      <c r="Q87" s="5"/>
      <c r="R87" s="5"/>
      <c r="S87" s="5"/>
    </row>
    <row r="88" spans="1:19" ht="22.25" customHeight="1" x14ac:dyDescent="0.2">
      <c r="A88" s="27"/>
      <c r="B88" s="30"/>
      <c r="C88" s="14" t="s">
        <v>37</v>
      </c>
      <c r="D88" s="9"/>
      <c r="E88" s="9"/>
      <c r="F88" s="9"/>
      <c r="G88" s="9"/>
      <c r="H88" s="9"/>
      <c r="I88" s="9"/>
      <c r="J88" s="9"/>
      <c r="K88" s="5"/>
      <c r="L88" s="5"/>
      <c r="M88" s="5"/>
      <c r="N88" s="5"/>
      <c r="O88" s="5"/>
      <c r="P88" s="5"/>
      <c r="Q88" s="5"/>
      <c r="R88" s="5"/>
      <c r="S88" s="5"/>
    </row>
    <row r="89" spans="1:19" ht="22.25" customHeight="1" x14ac:dyDescent="0.2">
      <c r="A89" s="28"/>
      <c r="B89" s="28"/>
      <c r="C89" s="14" t="s">
        <v>41</v>
      </c>
      <c r="D89" s="9">
        <f>-(D88*0.05)</f>
        <v>0</v>
      </c>
      <c r="E89" s="9">
        <f t="shared" ref="E89:J89" si="53">-(E88*0.05)</f>
        <v>0</v>
      </c>
      <c r="F89" s="9">
        <f t="shared" si="53"/>
        <v>0</v>
      </c>
      <c r="G89" s="9">
        <f t="shared" si="53"/>
        <v>0</v>
      </c>
      <c r="H89" s="9">
        <f t="shared" si="53"/>
        <v>0</v>
      </c>
      <c r="I89" s="9">
        <f t="shared" si="53"/>
        <v>0</v>
      </c>
      <c r="J89" s="9">
        <f t="shared" si="53"/>
        <v>0</v>
      </c>
      <c r="K89" s="5"/>
      <c r="L89" s="5"/>
      <c r="M89" s="5"/>
      <c r="N89" s="5"/>
      <c r="O89" s="5"/>
      <c r="P89" s="5"/>
      <c r="Q89" s="5"/>
      <c r="R89" s="5"/>
      <c r="S89" s="5"/>
    </row>
    <row r="90" spans="1:19" ht="22.25" customHeight="1" x14ac:dyDescent="0.2">
      <c r="A90" s="28"/>
      <c r="B90" s="28"/>
      <c r="C90" s="14" t="s">
        <v>42</v>
      </c>
      <c r="D90" s="9"/>
      <c r="E90" s="9"/>
      <c r="F90" s="9"/>
      <c r="G90" s="9"/>
      <c r="H90" s="9"/>
      <c r="I90" s="9"/>
      <c r="J90" s="9"/>
      <c r="K90" s="5"/>
      <c r="L90" s="5"/>
      <c r="M90" s="5"/>
      <c r="N90" s="5"/>
      <c r="O90" s="5"/>
      <c r="P90" s="5"/>
      <c r="Q90" s="5"/>
      <c r="R90" s="5"/>
      <c r="S90" s="5"/>
    </row>
    <row r="91" spans="1:19" ht="22.25" customHeight="1" x14ac:dyDescent="0.2">
      <c r="A91" s="28"/>
      <c r="B91" s="28"/>
      <c r="C91" s="14" t="s">
        <v>43</v>
      </c>
      <c r="D91" s="9">
        <f>-(D88*0.1)</f>
        <v>0</v>
      </c>
      <c r="E91" s="9">
        <f t="shared" ref="E91:J91" si="54">-(E88*0.1)</f>
        <v>0</v>
      </c>
      <c r="F91" s="9">
        <f t="shared" si="54"/>
        <v>0</v>
      </c>
      <c r="G91" s="9">
        <f t="shared" si="54"/>
        <v>0</v>
      </c>
      <c r="H91" s="9">
        <f t="shared" si="54"/>
        <v>0</v>
      </c>
      <c r="I91" s="9">
        <f t="shared" si="54"/>
        <v>0</v>
      </c>
      <c r="J91" s="9">
        <f t="shared" si="54"/>
        <v>0</v>
      </c>
      <c r="K91" s="5"/>
      <c r="L91" s="5"/>
      <c r="M91" s="5"/>
      <c r="N91" s="5"/>
      <c r="O91" s="5"/>
      <c r="P91" s="5"/>
      <c r="Q91" s="5"/>
      <c r="R91" s="5"/>
      <c r="S91" s="5"/>
    </row>
    <row r="92" spans="1:19" ht="22.25" customHeight="1" x14ac:dyDescent="0.2">
      <c r="A92" s="28"/>
      <c r="B92" s="28"/>
      <c r="C92" s="14" t="s">
        <v>38</v>
      </c>
      <c r="D92" s="9"/>
      <c r="E92" s="9"/>
      <c r="F92" s="9"/>
      <c r="G92" s="9"/>
      <c r="H92" s="9"/>
      <c r="I92" s="9"/>
      <c r="J92" s="9"/>
      <c r="K92" s="5"/>
      <c r="L92" s="5"/>
      <c r="M92" s="5"/>
      <c r="N92" s="5"/>
      <c r="O92" s="5"/>
      <c r="P92" s="5"/>
      <c r="Q92" s="5"/>
      <c r="R92" s="5"/>
      <c r="S92" s="5"/>
    </row>
    <row r="93" spans="1:19" ht="22.25" customHeight="1" x14ac:dyDescent="0.2">
      <c r="A93" s="28"/>
      <c r="B93" s="28"/>
      <c r="C93" s="17" t="s">
        <v>39</v>
      </c>
      <c r="D93" s="18">
        <f t="shared" ref="D93:J93" si="55">D88+D89+D90+D91+D92</f>
        <v>0</v>
      </c>
      <c r="E93" s="18">
        <f t="shared" si="55"/>
        <v>0</v>
      </c>
      <c r="F93" s="18">
        <f t="shared" si="55"/>
        <v>0</v>
      </c>
      <c r="G93" s="18">
        <f t="shared" si="55"/>
        <v>0</v>
      </c>
      <c r="H93" s="18">
        <f t="shared" si="55"/>
        <v>0</v>
      </c>
      <c r="I93" s="18">
        <f t="shared" si="55"/>
        <v>0</v>
      </c>
      <c r="J93" s="18">
        <f t="shared" si="55"/>
        <v>0</v>
      </c>
      <c r="K93" s="5"/>
      <c r="L93" s="5"/>
      <c r="M93" s="5"/>
      <c r="N93" s="5"/>
      <c r="O93" s="5"/>
      <c r="P93" s="5"/>
      <c r="Q93" s="5"/>
      <c r="R93" s="5"/>
      <c r="S93" s="5"/>
    </row>
    <row r="94" spans="1:19" ht="22.25" customHeight="1" thickBot="1" x14ac:dyDescent="0.25">
      <c r="A94" s="29"/>
      <c r="B94" s="29"/>
      <c r="C94" s="16" t="s">
        <v>22</v>
      </c>
      <c r="D94" s="19">
        <f>D88*0.1</f>
        <v>0</v>
      </c>
      <c r="E94" s="19">
        <f t="shared" ref="E94:J94" si="56">E88*0.1</f>
        <v>0</v>
      </c>
      <c r="F94" s="19">
        <f t="shared" si="56"/>
        <v>0</v>
      </c>
      <c r="G94" s="19">
        <f t="shared" si="56"/>
        <v>0</v>
      </c>
      <c r="H94" s="19">
        <f t="shared" si="56"/>
        <v>0</v>
      </c>
      <c r="I94" s="19">
        <f t="shared" si="56"/>
        <v>0</v>
      </c>
      <c r="J94" s="19">
        <f t="shared" si="56"/>
        <v>0</v>
      </c>
      <c r="K94" s="5"/>
      <c r="L94" s="5"/>
      <c r="M94" s="5"/>
      <c r="N94" s="5"/>
      <c r="O94" s="5"/>
      <c r="P94" s="5"/>
      <c r="Q94" s="5"/>
      <c r="R94" s="5"/>
      <c r="S94" s="5"/>
    </row>
    <row r="95" spans="1:19" ht="22.25" customHeight="1" x14ac:dyDescent="0.2">
      <c r="A95" s="27"/>
      <c r="B95" s="30"/>
      <c r="C95" s="14" t="s">
        <v>37</v>
      </c>
      <c r="D95" s="9"/>
      <c r="E95" s="9"/>
      <c r="F95" s="9"/>
      <c r="G95" s="9"/>
      <c r="H95" s="9"/>
      <c r="I95" s="9"/>
      <c r="J95" s="9"/>
      <c r="K95" s="5"/>
      <c r="L95" s="5"/>
      <c r="M95" s="5"/>
      <c r="N95" s="5"/>
      <c r="O95" s="5"/>
      <c r="P95" s="5"/>
      <c r="Q95" s="5"/>
      <c r="R95" s="5"/>
      <c r="S95" s="5"/>
    </row>
    <row r="96" spans="1:19" ht="22.25" customHeight="1" x14ac:dyDescent="0.2">
      <c r="A96" s="28"/>
      <c r="B96" s="28"/>
      <c r="C96" s="14" t="s">
        <v>41</v>
      </c>
      <c r="D96" s="9">
        <f>-(D95*0.05)</f>
        <v>0</v>
      </c>
      <c r="E96" s="9">
        <f t="shared" ref="E96:J96" si="57">-(E95*0.05)</f>
        <v>0</v>
      </c>
      <c r="F96" s="9">
        <f t="shared" si="57"/>
        <v>0</v>
      </c>
      <c r="G96" s="9">
        <f t="shared" si="57"/>
        <v>0</v>
      </c>
      <c r="H96" s="9">
        <f t="shared" si="57"/>
        <v>0</v>
      </c>
      <c r="I96" s="9">
        <f t="shared" si="57"/>
        <v>0</v>
      </c>
      <c r="J96" s="9">
        <f t="shared" si="57"/>
        <v>0</v>
      </c>
      <c r="K96" s="5"/>
      <c r="L96" s="5"/>
      <c r="M96" s="5"/>
      <c r="N96" s="5"/>
      <c r="O96" s="5"/>
      <c r="P96" s="5"/>
      <c r="Q96" s="5"/>
      <c r="R96" s="5"/>
      <c r="S96" s="5"/>
    </row>
    <row r="97" spans="1:19" ht="22.25" customHeight="1" x14ac:dyDescent="0.2">
      <c r="A97" s="28"/>
      <c r="B97" s="28"/>
      <c r="C97" s="14" t="s">
        <v>42</v>
      </c>
      <c r="D97" s="9"/>
      <c r="E97" s="9"/>
      <c r="F97" s="9"/>
      <c r="G97" s="9"/>
      <c r="H97" s="9"/>
      <c r="I97" s="9"/>
      <c r="J97" s="9"/>
      <c r="K97" s="5"/>
      <c r="L97" s="5"/>
      <c r="M97" s="5"/>
      <c r="N97" s="5"/>
      <c r="O97" s="5"/>
      <c r="P97" s="5"/>
      <c r="Q97" s="5"/>
      <c r="R97" s="5"/>
      <c r="S97" s="5"/>
    </row>
    <row r="98" spans="1:19" ht="22.25" customHeight="1" x14ac:dyDescent="0.2">
      <c r="A98" s="28"/>
      <c r="B98" s="28"/>
      <c r="C98" s="14" t="s">
        <v>43</v>
      </c>
      <c r="D98" s="9">
        <f>-(D95*0.1)</f>
        <v>0</v>
      </c>
      <c r="E98" s="9">
        <f t="shared" ref="E98:J98" si="58">-(E95*0.1)</f>
        <v>0</v>
      </c>
      <c r="F98" s="9">
        <f t="shared" si="58"/>
        <v>0</v>
      </c>
      <c r="G98" s="9">
        <f t="shared" si="58"/>
        <v>0</v>
      </c>
      <c r="H98" s="9">
        <f t="shared" si="58"/>
        <v>0</v>
      </c>
      <c r="I98" s="9">
        <f t="shared" si="58"/>
        <v>0</v>
      </c>
      <c r="J98" s="9">
        <f t="shared" si="58"/>
        <v>0</v>
      </c>
      <c r="K98" s="5"/>
      <c r="L98" s="5"/>
      <c r="M98" s="5"/>
      <c r="N98" s="5"/>
      <c r="O98" s="5"/>
      <c r="P98" s="5"/>
      <c r="Q98" s="5"/>
      <c r="R98" s="5"/>
      <c r="S98" s="5"/>
    </row>
    <row r="99" spans="1:19" ht="22.25" customHeight="1" x14ac:dyDescent="0.2">
      <c r="A99" s="28"/>
      <c r="B99" s="28"/>
      <c r="C99" s="14" t="s">
        <v>38</v>
      </c>
      <c r="D99" s="9"/>
      <c r="E99" s="9"/>
      <c r="F99" s="9"/>
      <c r="G99" s="9"/>
      <c r="H99" s="9"/>
      <c r="I99" s="9"/>
      <c r="J99" s="9"/>
      <c r="K99" s="5"/>
      <c r="L99" s="5"/>
      <c r="M99" s="5"/>
      <c r="N99" s="5"/>
      <c r="O99" s="5"/>
      <c r="P99" s="5"/>
      <c r="Q99" s="5"/>
      <c r="R99" s="5"/>
      <c r="S99" s="5"/>
    </row>
    <row r="100" spans="1:19" ht="22.25" customHeight="1" x14ac:dyDescent="0.2">
      <c r="A100" s="28"/>
      <c r="B100" s="28"/>
      <c r="C100" s="17" t="s">
        <v>39</v>
      </c>
      <c r="D100" s="18">
        <f t="shared" ref="D100:J100" si="59">D95+D96+D97+D98+D99</f>
        <v>0</v>
      </c>
      <c r="E100" s="18">
        <f t="shared" si="59"/>
        <v>0</v>
      </c>
      <c r="F100" s="18">
        <f t="shared" si="59"/>
        <v>0</v>
      </c>
      <c r="G100" s="18">
        <f t="shared" si="59"/>
        <v>0</v>
      </c>
      <c r="H100" s="18">
        <f t="shared" si="59"/>
        <v>0</v>
      </c>
      <c r="I100" s="18">
        <f t="shared" si="59"/>
        <v>0</v>
      </c>
      <c r="J100" s="18">
        <f t="shared" si="59"/>
        <v>0</v>
      </c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22.25" customHeight="1" thickBot="1" x14ac:dyDescent="0.25">
      <c r="A101" s="29"/>
      <c r="B101" s="29"/>
      <c r="C101" s="16" t="s">
        <v>22</v>
      </c>
      <c r="D101" s="19">
        <f>D95*0.1</f>
        <v>0</v>
      </c>
      <c r="E101" s="19">
        <f t="shared" ref="E101:J101" si="60">E95*0.1</f>
        <v>0</v>
      </c>
      <c r="F101" s="19">
        <f t="shared" si="60"/>
        <v>0</v>
      </c>
      <c r="G101" s="19">
        <f t="shared" si="60"/>
        <v>0</v>
      </c>
      <c r="H101" s="19">
        <f t="shared" si="60"/>
        <v>0</v>
      </c>
      <c r="I101" s="19">
        <f t="shared" si="60"/>
        <v>0</v>
      </c>
      <c r="J101" s="19">
        <f t="shared" si="60"/>
        <v>0</v>
      </c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22.25" customHeight="1" x14ac:dyDescent="0.2">
      <c r="A102" s="27"/>
      <c r="B102" s="30"/>
      <c r="C102" s="14" t="s">
        <v>37</v>
      </c>
      <c r="D102" s="9"/>
      <c r="E102" s="9"/>
      <c r="F102" s="9"/>
      <c r="G102" s="9"/>
      <c r="H102" s="9"/>
      <c r="I102" s="9"/>
      <c r="J102" s="9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22.25" customHeight="1" x14ac:dyDescent="0.2">
      <c r="A103" s="28"/>
      <c r="B103" s="28"/>
      <c r="C103" s="14" t="s">
        <v>41</v>
      </c>
      <c r="D103" s="9">
        <f>-(D102*0.05)</f>
        <v>0</v>
      </c>
      <c r="E103" s="9">
        <f t="shared" ref="E103:J103" si="61">-(E102*0.05)</f>
        <v>0</v>
      </c>
      <c r="F103" s="9">
        <f t="shared" si="61"/>
        <v>0</v>
      </c>
      <c r="G103" s="9">
        <f t="shared" si="61"/>
        <v>0</v>
      </c>
      <c r="H103" s="9">
        <f t="shared" si="61"/>
        <v>0</v>
      </c>
      <c r="I103" s="9">
        <f t="shared" si="61"/>
        <v>0</v>
      </c>
      <c r="J103" s="9">
        <f t="shared" si="61"/>
        <v>0</v>
      </c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22.25" customHeight="1" x14ac:dyDescent="0.2">
      <c r="A104" s="28"/>
      <c r="B104" s="28"/>
      <c r="C104" s="14" t="s">
        <v>42</v>
      </c>
      <c r="D104" s="9"/>
      <c r="E104" s="9"/>
      <c r="F104" s="9"/>
      <c r="G104" s="9"/>
      <c r="H104" s="9"/>
      <c r="I104" s="9"/>
      <c r="J104" s="9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22.25" customHeight="1" x14ac:dyDescent="0.2">
      <c r="A105" s="28"/>
      <c r="B105" s="28"/>
      <c r="C105" s="14" t="s">
        <v>43</v>
      </c>
      <c r="D105" s="9">
        <f>-(D102*0.1)</f>
        <v>0</v>
      </c>
      <c r="E105" s="9">
        <f t="shared" ref="E105:J105" si="62">-(E102*0.1)</f>
        <v>0</v>
      </c>
      <c r="F105" s="9">
        <f t="shared" si="62"/>
        <v>0</v>
      </c>
      <c r="G105" s="9">
        <f t="shared" si="62"/>
        <v>0</v>
      </c>
      <c r="H105" s="9">
        <f t="shared" si="62"/>
        <v>0</v>
      </c>
      <c r="I105" s="9">
        <f t="shared" si="62"/>
        <v>0</v>
      </c>
      <c r="J105" s="9">
        <f t="shared" si="62"/>
        <v>0</v>
      </c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22.25" customHeight="1" x14ac:dyDescent="0.2">
      <c r="A106" s="28"/>
      <c r="B106" s="28"/>
      <c r="C106" s="14" t="s">
        <v>38</v>
      </c>
      <c r="D106" s="9"/>
      <c r="E106" s="9"/>
      <c r="F106" s="9"/>
      <c r="G106" s="9"/>
      <c r="H106" s="9"/>
      <c r="I106" s="9"/>
      <c r="J106" s="9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22.25" customHeight="1" x14ac:dyDescent="0.2">
      <c r="A107" s="28"/>
      <c r="B107" s="28"/>
      <c r="C107" s="17" t="s">
        <v>39</v>
      </c>
      <c r="D107" s="18">
        <f t="shared" ref="D107:J107" si="63">D102+D103+D104+D105+D106</f>
        <v>0</v>
      </c>
      <c r="E107" s="18">
        <f t="shared" si="63"/>
        <v>0</v>
      </c>
      <c r="F107" s="18">
        <f t="shared" si="63"/>
        <v>0</v>
      </c>
      <c r="G107" s="18">
        <f t="shared" si="63"/>
        <v>0</v>
      </c>
      <c r="H107" s="18">
        <f t="shared" si="63"/>
        <v>0</v>
      </c>
      <c r="I107" s="18">
        <f t="shared" si="63"/>
        <v>0</v>
      </c>
      <c r="J107" s="18">
        <f t="shared" si="63"/>
        <v>0</v>
      </c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22.25" customHeight="1" thickBot="1" x14ac:dyDescent="0.25">
      <c r="A108" s="29"/>
      <c r="B108" s="29"/>
      <c r="C108" s="16" t="s">
        <v>22</v>
      </c>
      <c r="D108" s="19">
        <f>D102*0.1</f>
        <v>0</v>
      </c>
      <c r="E108" s="19">
        <f t="shared" ref="E108:J108" si="64">E102*0.1</f>
        <v>0</v>
      </c>
      <c r="F108" s="19">
        <f t="shared" si="64"/>
        <v>0</v>
      </c>
      <c r="G108" s="19">
        <f t="shared" si="64"/>
        <v>0</v>
      </c>
      <c r="H108" s="19">
        <f t="shared" si="64"/>
        <v>0</v>
      </c>
      <c r="I108" s="19">
        <f t="shared" si="64"/>
        <v>0</v>
      </c>
      <c r="J108" s="19">
        <f t="shared" si="64"/>
        <v>0</v>
      </c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22.25" customHeight="1" x14ac:dyDescent="0.2">
      <c r="A109" s="27"/>
      <c r="B109" s="30"/>
      <c r="C109" s="14" t="s">
        <v>37</v>
      </c>
      <c r="D109" s="9"/>
      <c r="E109" s="9"/>
      <c r="F109" s="9"/>
      <c r="G109" s="9"/>
      <c r="H109" s="9"/>
      <c r="I109" s="9"/>
      <c r="J109" s="9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22.25" customHeight="1" x14ac:dyDescent="0.2">
      <c r="A110" s="28"/>
      <c r="B110" s="28"/>
      <c r="C110" s="14" t="s">
        <v>41</v>
      </c>
      <c r="D110" s="9">
        <f>-(D109*0.05)</f>
        <v>0</v>
      </c>
      <c r="E110" s="9">
        <f t="shared" ref="E110:J110" si="65">-(E109*0.05)</f>
        <v>0</v>
      </c>
      <c r="F110" s="9">
        <f t="shared" si="65"/>
        <v>0</v>
      </c>
      <c r="G110" s="9">
        <f t="shared" si="65"/>
        <v>0</v>
      </c>
      <c r="H110" s="9">
        <f t="shared" si="65"/>
        <v>0</v>
      </c>
      <c r="I110" s="9">
        <f t="shared" si="65"/>
        <v>0</v>
      </c>
      <c r="J110" s="9">
        <f t="shared" si="65"/>
        <v>0</v>
      </c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22.25" customHeight="1" x14ac:dyDescent="0.2">
      <c r="A111" s="28"/>
      <c r="B111" s="28"/>
      <c r="C111" s="14" t="s">
        <v>42</v>
      </c>
      <c r="D111" s="9"/>
      <c r="E111" s="9"/>
      <c r="F111" s="9"/>
      <c r="G111" s="9"/>
      <c r="H111" s="9"/>
      <c r="I111" s="9"/>
      <c r="J111" s="9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22.25" customHeight="1" x14ac:dyDescent="0.2">
      <c r="A112" s="28"/>
      <c r="B112" s="28"/>
      <c r="C112" s="14" t="s">
        <v>43</v>
      </c>
      <c r="D112" s="9">
        <f>-(D109*0.1)</f>
        <v>0</v>
      </c>
      <c r="E112" s="9">
        <f t="shared" ref="E112:J112" si="66">-(E109*0.1)</f>
        <v>0</v>
      </c>
      <c r="F112" s="9">
        <f t="shared" si="66"/>
        <v>0</v>
      </c>
      <c r="G112" s="9">
        <f t="shared" si="66"/>
        <v>0</v>
      </c>
      <c r="H112" s="9">
        <f t="shared" si="66"/>
        <v>0</v>
      </c>
      <c r="I112" s="9">
        <f t="shared" si="66"/>
        <v>0</v>
      </c>
      <c r="J112" s="9">
        <f t="shared" si="66"/>
        <v>0</v>
      </c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22.25" customHeight="1" x14ac:dyDescent="0.2">
      <c r="A113" s="28"/>
      <c r="B113" s="28"/>
      <c r="C113" s="14" t="s">
        <v>38</v>
      </c>
      <c r="D113" s="9"/>
      <c r="E113" s="9"/>
      <c r="F113" s="9"/>
      <c r="G113" s="9"/>
      <c r="H113" s="9"/>
      <c r="I113" s="9"/>
      <c r="J113" s="9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22.25" customHeight="1" x14ac:dyDescent="0.2">
      <c r="A114" s="28"/>
      <c r="B114" s="28"/>
      <c r="C114" s="17" t="s">
        <v>39</v>
      </c>
      <c r="D114" s="18">
        <f t="shared" ref="D114:J114" si="67">D109+D110+D111+D112+D113</f>
        <v>0</v>
      </c>
      <c r="E114" s="18">
        <f t="shared" si="67"/>
        <v>0</v>
      </c>
      <c r="F114" s="18">
        <f t="shared" si="67"/>
        <v>0</v>
      </c>
      <c r="G114" s="18">
        <f t="shared" si="67"/>
        <v>0</v>
      </c>
      <c r="H114" s="18">
        <f t="shared" si="67"/>
        <v>0</v>
      </c>
      <c r="I114" s="18">
        <f t="shared" si="67"/>
        <v>0</v>
      </c>
      <c r="J114" s="18">
        <f t="shared" si="67"/>
        <v>0</v>
      </c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22.25" customHeight="1" thickBot="1" x14ac:dyDescent="0.25">
      <c r="A115" s="29"/>
      <c r="B115" s="29"/>
      <c r="C115" s="16" t="s">
        <v>22</v>
      </c>
      <c r="D115" s="19">
        <f>D109*0.1</f>
        <v>0</v>
      </c>
      <c r="E115" s="19">
        <f t="shared" ref="E115:J115" si="68">E109*0.1</f>
        <v>0</v>
      </c>
      <c r="F115" s="19">
        <f t="shared" si="68"/>
        <v>0</v>
      </c>
      <c r="G115" s="19">
        <f t="shared" si="68"/>
        <v>0</v>
      </c>
      <c r="H115" s="19">
        <f t="shared" si="68"/>
        <v>0</v>
      </c>
      <c r="I115" s="19">
        <f t="shared" si="68"/>
        <v>0</v>
      </c>
      <c r="J115" s="19">
        <f t="shared" si="68"/>
        <v>0</v>
      </c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22.25" customHeight="1" x14ac:dyDescent="0.2">
      <c r="A116" s="27"/>
      <c r="B116" s="30"/>
      <c r="C116" s="14" t="s">
        <v>37</v>
      </c>
      <c r="D116" s="9"/>
      <c r="E116" s="9"/>
      <c r="F116" s="9"/>
      <c r="G116" s="9"/>
      <c r="H116" s="9"/>
      <c r="I116" s="9"/>
      <c r="J116" s="9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22.25" customHeight="1" x14ac:dyDescent="0.2">
      <c r="A117" s="28"/>
      <c r="B117" s="28"/>
      <c r="C117" s="14" t="s">
        <v>41</v>
      </c>
      <c r="D117" s="9">
        <f>-(D116*0.05)</f>
        <v>0</v>
      </c>
      <c r="E117" s="9">
        <f t="shared" ref="E117:J117" si="69">-(E116*0.05)</f>
        <v>0</v>
      </c>
      <c r="F117" s="9">
        <f t="shared" si="69"/>
        <v>0</v>
      </c>
      <c r="G117" s="9">
        <f t="shared" si="69"/>
        <v>0</v>
      </c>
      <c r="H117" s="9">
        <f t="shared" si="69"/>
        <v>0</v>
      </c>
      <c r="I117" s="9">
        <f t="shared" si="69"/>
        <v>0</v>
      </c>
      <c r="J117" s="9">
        <f t="shared" si="69"/>
        <v>0</v>
      </c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22.25" customHeight="1" x14ac:dyDescent="0.2">
      <c r="A118" s="28"/>
      <c r="B118" s="28"/>
      <c r="C118" s="14" t="s">
        <v>42</v>
      </c>
      <c r="D118" s="9"/>
      <c r="E118" s="9"/>
      <c r="F118" s="9"/>
      <c r="G118" s="9"/>
      <c r="H118" s="9"/>
      <c r="I118" s="9"/>
      <c r="J118" s="9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22.25" customHeight="1" x14ac:dyDescent="0.2">
      <c r="A119" s="28"/>
      <c r="B119" s="28"/>
      <c r="C119" s="14" t="s">
        <v>43</v>
      </c>
      <c r="D119" s="9">
        <f>-(D116*0.1)</f>
        <v>0</v>
      </c>
      <c r="E119" s="9">
        <f t="shared" ref="E119:J119" si="70">-(E116*0.1)</f>
        <v>0</v>
      </c>
      <c r="F119" s="9">
        <f t="shared" si="70"/>
        <v>0</v>
      </c>
      <c r="G119" s="9">
        <f t="shared" si="70"/>
        <v>0</v>
      </c>
      <c r="H119" s="9">
        <f t="shared" si="70"/>
        <v>0</v>
      </c>
      <c r="I119" s="9">
        <f t="shared" si="70"/>
        <v>0</v>
      </c>
      <c r="J119" s="9">
        <f t="shared" si="70"/>
        <v>0</v>
      </c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22.25" customHeight="1" x14ac:dyDescent="0.2">
      <c r="A120" s="28"/>
      <c r="B120" s="28"/>
      <c r="C120" s="14" t="s">
        <v>38</v>
      </c>
      <c r="D120" s="9"/>
      <c r="E120" s="9"/>
      <c r="F120" s="9"/>
      <c r="G120" s="9"/>
      <c r="H120" s="9"/>
      <c r="I120" s="9"/>
      <c r="J120" s="9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22.25" customHeight="1" x14ac:dyDescent="0.2">
      <c r="A121" s="28"/>
      <c r="B121" s="28"/>
      <c r="C121" s="17" t="s">
        <v>39</v>
      </c>
      <c r="D121" s="18">
        <f t="shared" ref="D121:J121" si="71">D116+D117+D118+D119+D120</f>
        <v>0</v>
      </c>
      <c r="E121" s="18">
        <f t="shared" si="71"/>
        <v>0</v>
      </c>
      <c r="F121" s="18">
        <f t="shared" si="71"/>
        <v>0</v>
      </c>
      <c r="G121" s="18">
        <f t="shared" si="71"/>
        <v>0</v>
      </c>
      <c r="H121" s="18">
        <f t="shared" si="71"/>
        <v>0</v>
      </c>
      <c r="I121" s="18">
        <f t="shared" si="71"/>
        <v>0</v>
      </c>
      <c r="J121" s="18">
        <f t="shared" si="71"/>
        <v>0</v>
      </c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22.25" customHeight="1" thickBot="1" x14ac:dyDescent="0.25">
      <c r="A122" s="29"/>
      <c r="B122" s="29"/>
      <c r="C122" s="16" t="s">
        <v>22</v>
      </c>
      <c r="D122" s="19">
        <f>D116*0.1</f>
        <v>0</v>
      </c>
      <c r="E122" s="19">
        <f t="shared" ref="E122:J122" si="72">E116*0.1</f>
        <v>0</v>
      </c>
      <c r="F122" s="19">
        <f t="shared" si="72"/>
        <v>0</v>
      </c>
      <c r="G122" s="19">
        <f t="shared" si="72"/>
        <v>0</v>
      </c>
      <c r="H122" s="19">
        <f t="shared" si="72"/>
        <v>0</v>
      </c>
      <c r="I122" s="19">
        <f t="shared" si="72"/>
        <v>0</v>
      </c>
      <c r="J122" s="19">
        <f t="shared" si="72"/>
        <v>0</v>
      </c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22.25" customHeight="1" x14ac:dyDescent="0.2">
      <c r="A123" s="27"/>
      <c r="B123" s="30"/>
      <c r="C123" s="14" t="s">
        <v>37</v>
      </c>
      <c r="D123" s="9"/>
      <c r="E123" s="9"/>
      <c r="F123" s="9"/>
      <c r="G123" s="9"/>
      <c r="H123" s="9"/>
      <c r="I123" s="9"/>
      <c r="J123" s="9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22.25" customHeight="1" x14ac:dyDescent="0.2">
      <c r="A124" s="28"/>
      <c r="B124" s="28"/>
      <c r="C124" s="14" t="s">
        <v>41</v>
      </c>
      <c r="D124" s="9">
        <f>-(D123*0.05)</f>
        <v>0</v>
      </c>
      <c r="E124" s="9">
        <f t="shared" ref="E124:J124" si="73">-(E123*0.05)</f>
        <v>0</v>
      </c>
      <c r="F124" s="9">
        <f t="shared" si="73"/>
        <v>0</v>
      </c>
      <c r="G124" s="9">
        <f t="shared" si="73"/>
        <v>0</v>
      </c>
      <c r="H124" s="9">
        <f t="shared" si="73"/>
        <v>0</v>
      </c>
      <c r="I124" s="9">
        <f t="shared" si="73"/>
        <v>0</v>
      </c>
      <c r="J124" s="9">
        <f t="shared" si="73"/>
        <v>0</v>
      </c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22.25" customHeight="1" x14ac:dyDescent="0.2">
      <c r="A125" s="28"/>
      <c r="B125" s="28"/>
      <c r="C125" s="14" t="s">
        <v>42</v>
      </c>
      <c r="D125" s="9"/>
      <c r="E125" s="9"/>
      <c r="F125" s="9"/>
      <c r="G125" s="9"/>
      <c r="H125" s="9"/>
      <c r="I125" s="9"/>
      <c r="J125" s="9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22.25" customHeight="1" x14ac:dyDescent="0.2">
      <c r="A126" s="28"/>
      <c r="B126" s="28"/>
      <c r="C126" s="14" t="s">
        <v>43</v>
      </c>
      <c r="D126" s="9">
        <f>-(D123*0.1)</f>
        <v>0</v>
      </c>
      <c r="E126" s="9">
        <f t="shared" ref="E126:J126" si="74">-(E123*0.1)</f>
        <v>0</v>
      </c>
      <c r="F126" s="9">
        <f t="shared" si="74"/>
        <v>0</v>
      </c>
      <c r="G126" s="9">
        <f t="shared" si="74"/>
        <v>0</v>
      </c>
      <c r="H126" s="9">
        <f t="shared" si="74"/>
        <v>0</v>
      </c>
      <c r="I126" s="9">
        <f t="shared" si="74"/>
        <v>0</v>
      </c>
      <c r="J126" s="9">
        <f t="shared" si="74"/>
        <v>0</v>
      </c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22.25" customHeight="1" x14ac:dyDescent="0.2">
      <c r="A127" s="28"/>
      <c r="B127" s="28"/>
      <c r="C127" s="14" t="s">
        <v>38</v>
      </c>
      <c r="D127" s="9"/>
      <c r="E127" s="9"/>
      <c r="F127" s="9"/>
      <c r="G127" s="9"/>
      <c r="H127" s="9"/>
      <c r="I127" s="9"/>
      <c r="J127" s="9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22.25" customHeight="1" x14ac:dyDescent="0.2">
      <c r="A128" s="28"/>
      <c r="B128" s="28"/>
      <c r="C128" s="17" t="s">
        <v>39</v>
      </c>
      <c r="D128" s="18">
        <f t="shared" ref="D128:J128" si="75">D123+D124+D125+D126+D127</f>
        <v>0</v>
      </c>
      <c r="E128" s="18">
        <f t="shared" si="75"/>
        <v>0</v>
      </c>
      <c r="F128" s="18">
        <f t="shared" si="75"/>
        <v>0</v>
      </c>
      <c r="G128" s="18">
        <f t="shared" si="75"/>
        <v>0</v>
      </c>
      <c r="H128" s="18">
        <f t="shared" si="75"/>
        <v>0</v>
      </c>
      <c r="I128" s="18">
        <f t="shared" si="75"/>
        <v>0</v>
      </c>
      <c r="J128" s="18">
        <f t="shared" si="75"/>
        <v>0</v>
      </c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22.25" customHeight="1" thickBot="1" x14ac:dyDescent="0.25">
      <c r="A129" s="29"/>
      <c r="B129" s="29"/>
      <c r="C129" s="16" t="s">
        <v>22</v>
      </c>
      <c r="D129" s="19">
        <f>D123*0.1</f>
        <v>0</v>
      </c>
      <c r="E129" s="19">
        <f t="shared" ref="E129:J129" si="76">E123*0.1</f>
        <v>0</v>
      </c>
      <c r="F129" s="19">
        <f t="shared" si="76"/>
        <v>0</v>
      </c>
      <c r="G129" s="19">
        <f t="shared" si="76"/>
        <v>0</v>
      </c>
      <c r="H129" s="19">
        <f t="shared" si="76"/>
        <v>0</v>
      </c>
      <c r="I129" s="19">
        <f t="shared" si="76"/>
        <v>0</v>
      </c>
      <c r="J129" s="19">
        <f t="shared" si="76"/>
        <v>0</v>
      </c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22.25" customHeight="1" x14ac:dyDescent="0.2">
      <c r="A130" s="27"/>
      <c r="B130" s="30"/>
      <c r="C130" s="14" t="s">
        <v>37</v>
      </c>
      <c r="D130" s="9"/>
      <c r="E130" s="9"/>
      <c r="F130" s="9"/>
      <c r="G130" s="9"/>
      <c r="H130" s="9"/>
      <c r="I130" s="9"/>
      <c r="J130" s="9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22.25" customHeight="1" x14ac:dyDescent="0.2">
      <c r="A131" s="28"/>
      <c r="B131" s="28"/>
      <c r="C131" s="14" t="s">
        <v>41</v>
      </c>
      <c r="D131" s="9">
        <f>-(D130*0.05)</f>
        <v>0</v>
      </c>
      <c r="E131" s="9">
        <f t="shared" ref="E131:J131" si="77">-(E130*0.05)</f>
        <v>0</v>
      </c>
      <c r="F131" s="9">
        <f t="shared" si="77"/>
        <v>0</v>
      </c>
      <c r="G131" s="9">
        <f t="shared" si="77"/>
        <v>0</v>
      </c>
      <c r="H131" s="9">
        <f t="shared" si="77"/>
        <v>0</v>
      </c>
      <c r="I131" s="9">
        <f t="shared" si="77"/>
        <v>0</v>
      </c>
      <c r="J131" s="9">
        <f t="shared" si="77"/>
        <v>0</v>
      </c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22.25" customHeight="1" x14ac:dyDescent="0.2">
      <c r="A132" s="28"/>
      <c r="B132" s="28"/>
      <c r="C132" s="14" t="s">
        <v>42</v>
      </c>
      <c r="D132" s="9"/>
      <c r="E132" s="9"/>
      <c r="F132" s="9"/>
      <c r="G132" s="9"/>
      <c r="H132" s="9"/>
      <c r="I132" s="9"/>
      <c r="J132" s="9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22.25" customHeight="1" x14ac:dyDescent="0.2">
      <c r="A133" s="28"/>
      <c r="B133" s="28"/>
      <c r="C133" s="14" t="s">
        <v>43</v>
      </c>
      <c r="D133" s="9">
        <f>-(D130*0.1)</f>
        <v>0</v>
      </c>
      <c r="E133" s="9">
        <f t="shared" ref="E133:J133" si="78">-(E130*0.1)</f>
        <v>0</v>
      </c>
      <c r="F133" s="9">
        <f t="shared" si="78"/>
        <v>0</v>
      </c>
      <c r="G133" s="9">
        <f t="shared" si="78"/>
        <v>0</v>
      </c>
      <c r="H133" s="9">
        <f t="shared" si="78"/>
        <v>0</v>
      </c>
      <c r="I133" s="9">
        <f t="shared" si="78"/>
        <v>0</v>
      </c>
      <c r="J133" s="9">
        <f t="shared" si="78"/>
        <v>0</v>
      </c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22.25" customHeight="1" x14ac:dyDescent="0.2">
      <c r="A134" s="28"/>
      <c r="B134" s="28"/>
      <c r="C134" s="14" t="s">
        <v>38</v>
      </c>
      <c r="D134" s="9"/>
      <c r="E134" s="9"/>
      <c r="F134" s="9"/>
      <c r="G134" s="9"/>
      <c r="H134" s="9"/>
      <c r="I134" s="9"/>
      <c r="J134" s="9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22.25" customHeight="1" x14ac:dyDescent="0.2">
      <c r="A135" s="28"/>
      <c r="B135" s="28"/>
      <c r="C135" s="17" t="s">
        <v>39</v>
      </c>
      <c r="D135" s="18">
        <f t="shared" ref="D135:J135" si="79">D130+D131+D132+D133+D134</f>
        <v>0</v>
      </c>
      <c r="E135" s="18">
        <f t="shared" si="79"/>
        <v>0</v>
      </c>
      <c r="F135" s="18">
        <f t="shared" si="79"/>
        <v>0</v>
      </c>
      <c r="G135" s="18">
        <f t="shared" si="79"/>
        <v>0</v>
      </c>
      <c r="H135" s="18">
        <f t="shared" si="79"/>
        <v>0</v>
      </c>
      <c r="I135" s="18">
        <f t="shared" si="79"/>
        <v>0</v>
      </c>
      <c r="J135" s="18">
        <f t="shared" si="79"/>
        <v>0</v>
      </c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22.25" customHeight="1" thickBot="1" x14ac:dyDescent="0.25">
      <c r="A136" s="29"/>
      <c r="B136" s="29"/>
      <c r="C136" s="16" t="s">
        <v>22</v>
      </c>
      <c r="D136" s="19">
        <f>D130*0.1</f>
        <v>0</v>
      </c>
      <c r="E136" s="19">
        <f t="shared" ref="E136:J136" si="80">E130*0.1</f>
        <v>0</v>
      </c>
      <c r="F136" s="19">
        <f t="shared" si="80"/>
        <v>0</v>
      </c>
      <c r="G136" s="19">
        <f t="shared" si="80"/>
        <v>0</v>
      </c>
      <c r="H136" s="19">
        <f t="shared" si="80"/>
        <v>0</v>
      </c>
      <c r="I136" s="19">
        <f t="shared" si="80"/>
        <v>0</v>
      </c>
      <c r="J136" s="19">
        <f t="shared" si="80"/>
        <v>0</v>
      </c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22.25" customHeight="1" x14ac:dyDescent="0.2">
      <c r="A137" s="27"/>
      <c r="B137" s="30"/>
      <c r="C137" s="14" t="s">
        <v>37</v>
      </c>
      <c r="D137" s="9"/>
      <c r="E137" s="9"/>
      <c r="F137" s="9"/>
      <c r="G137" s="9"/>
      <c r="H137" s="9"/>
      <c r="I137" s="9"/>
      <c r="J137" s="9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22.25" customHeight="1" x14ac:dyDescent="0.2">
      <c r="A138" s="28"/>
      <c r="B138" s="28"/>
      <c r="C138" s="14" t="s">
        <v>41</v>
      </c>
      <c r="D138" s="9">
        <f>-(D137*0.05)</f>
        <v>0</v>
      </c>
      <c r="E138" s="9">
        <f t="shared" ref="E138:J138" si="81">-(E137*0.05)</f>
        <v>0</v>
      </c>
      <c r="F138" s="9">
        <f t="shared" si="81"/>
        <v>0</v>
      </c>
      <c r="G138" s="9">
        <f t="shared" si="81"/>
        <v>0</v>
      </c>
      <c r="H138" s="9">
        <f t="shared" si="81"/>
        <v>0</v>
      </c>
      <c r="I138" s="9">
        <f t="shared" si="81"/>
        <v>0</v>
      </c>
      <c r="J138" s="9">
        <f t="shared" si="81"/>
        <v>0</v>
      </c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22.25" customHeight="1" x14ac:dyDescent="0.2">
      <c r="A139" s="28"/>
      <c r="B139" s="28"/>
      <c r="C139" s="14" t="s">
        <v>42</v>
      </c>
      <c r="D139" s="9"/>
      <c r="E139" s="9"/>
      <c r="F139" s="9"/>
      <c r="G139" s="9"/>
      <c r="H139" s="9"/>
      <c r="I139" s="9"/>
      <c r="J139" s="9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22.25" customHeight="1" x14ac:dyDescent="0.2">
      <c r="A140" s="28"/>
      <c r="B140" s="28"/>
      <c r="C140" s="14" t="s">
        <v>43</v>
      </c>
      <c r="D140" s="9">
        <f>-(D137*0.1)</f>
        <v>0</v>
      </c>
      <c r="E140" s="9">
        <f t="shared" ref="E140:J140" si="82">-(E137*0.1)</f>
        <v>0</v>
      </c>
      <c r="F140" s="9">
        <f t="shared" si="82"/>
        <v>0</v>
      </c>
      <c r="G140" s="9">
        <f t="shared" si="82"/>
        <v>0</v>
      </c>
      <c r="H140" s="9">
        <f t="shared" si="82"/>
        <v>0</v>
      </c>
      <c r="I140" s="9">
        <f t="shared" si="82"/>
        <v>0</v>
      </c>
      <c r="J140" s="9">
        <f t="shared" si="82"/>
        <v>0</v>
      </c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22.25" customHeight="1" x14ac:dyDescent="0.2">
      <c r="A141" s="28"/>
      <c r="B141" s="28"/>
      <c r="C141" s="14" t="s">
        <v>38</v>
      </c>
      <c r="D141" s="9"/>
      <c r="E141" s="9"/>
      <c r="F141" s="9"/>
      <c r="G141" s="9"/>
      <c r="H141" s="9"/>
      <c r="I141" s="9"/>
      <c r="J141" s="9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22.25" customHeight="1" x14ac:dyDescent="0.2">
      <c r="A142" s="28"/>
      <c r="B142" s="28"/>
      <c r="C142" s="17" t="s">
        <v>39</v>
      </c>
      <c r="D142" s="18">
        <f t="shared" ref="D142:J142" si="83">D137+D138+D139+D140+D141</f>
        <v>0</v>
      </c>
      <c r="E142" s="18">
        <f t="shared" si="83"/>
        <v>0</v>
      </c>
      <c r="F142" s="18">
        <f t="shared" si="83"/>
        <v>0</v>
      </c>
      <c r="G142" s="18">
        <f t="shared" si="83"/>
        <v>0</v>
      </c>
      <c r="H142" s="18">
        <f t="shared" si="83"/>
        <v>0</v>
      </c>
      <c r="I142" s="18">
        <f t="shared" si="83"/>
        <v>0</v>
      </c>
      <c r="J142" s="18">
        <f t="shared" si="83"/>
        <v>0</v>
      </c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22.25" customHeight="1" thickBot="1" x14ac:dyDescent="0.25">
      <c r="A143" s="29"/>
      <c r="B143" s="29"/>
      <c r="C143" s="16" t="s">
        <v>22</v>
      </c>
      <c r="D143" s="19">
        <f>D137*0.1</f>
        <v>0</v>
      </c>
      <c r="E143" s="19">
        <f t="shared" ref="E143:J143" si="84">E137*0.1</f>
        <v>0</v>
      </c>
      <c r="F143" s="19">
        <f t="shared" si="84"/>
        <v>0</v>
      </c>
      <c r="G143" s="19">
        <f t="shared" si="84"/>
        <v>0</v>
      </c>
      <c r="H143" s="19">
        <f t="shared" si="84"/>
        <v>0</v>
      </c>
      <c r="I143" s="19">
        <f t="shared" si="84"/>
        <v>0</v>
      </c>
      <c r="J143" s="19">
        <f t="shared" si="84"/>
        <v>0</v>
      </c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22.25" customHeight="1" x14ac:dyDescent="0.2">
      <c r="A144" s="27"/>
      <c r="B144" s="30"/>
      <c r="C144" s="14" t="s">
        <v>37</v>
      </c>
      <c r="D144" s="9"/>
      <c r="E144" s="9"/>
      <c r="F144" s="9"/>
      <c r="G144" s="9"/>
      <c r="H144" s="9"/>
      <c r="I144" s="9"/>
      <c r="J144" s="9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22.25" customHeight="1" x14ac:dyDescent="0.2">
      <c r="A145" s="28"/>
      <c r="B145" s="28"/>
      <c r="C145" s="14" t="s">
        <v>41</v>
      </c>
      <c r="D145" s="9">
        <f>-(D144*0.05)</f>
        <v>0</v>
      </c>
      <c r="E145" s="9">
        <f t="shared" ref="E145:J145" si="85">-(E144*0.05)</f>
        <v>0</v>
      </c>
      <c r="F145" s="9">
        <f t="shared" si="85"/>
        <v>0</v>
      </c>
      <c r="G145" s="9">
        <f t="shared" si="85"/>
        <v>0</v>
      </c>
      <c r="H145" s="9">
        <f t="shared" si="85"/>
        <v>0</v>
      </c>
      <c r="I145" s="9">
        <f t="shared" si="85"/>
        <v>0</v>
      </c>
      <c r="J145" s="9">
        <f t="shared" si="85"/>
        <v>0</v>
      </c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22.25" customHeight="1" x14ac:dyDescent="0.2">
      <c r="A146" s="28"/>
      <c r="B146" s="28"/>
      <c r="C146" s="14" t="s">
        <v>42</v>
      </c>
      <c r="D146" s="9"/>
      <c r="E146" s="9"/>
      <c r="F146" s="9"/>
      <c r="G146" s="9"/>
      <c r="H146" s="9"/>
      <c r="I146" s="9"/>
      <c r="J146" s="9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22.25" customHeight="1" x14ac:dyDescent="0.2">
      <c r="A147" s="28"/>
      <c r="B147" s="28"/>
      <c r="C147" s="14" t="s">
        <v>43</v>
      </c>
      <c r="D147" s="9">
        <f>-(D144*0.1)</f>
        <v>0</v>
      </c>
      <c r="E147" s="9">
        <f t="shared" ref="E147:J147" si="86">-(E144*0.1)</f>
        <v>0</v>
      </c>
      <c r="F147" s="9">
        <f t="shared" si="86"/>
        <v>0</v>
      </c>
      <c r="G147" s="9">
        <f t="shared" si="86"/>
        <v>0</v>
      </c>
      <c r="H147" s="9">
        <f t="shared" si="86"/>
        <v>0</v>
      </c>
      <c r="I147" s="9">
        <f t="shared" si="86"/>
        <v>0</v>
      </c>
      <c r="J147" s="9">
        <f t="shared" si="86"/>
        <v>0</v>
      </c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22.25" customHeight="1" x14ac:dyDescent="0.2">
      <c r="A148" s="28"/>
      <c r="B148" s="28"/>
      <c r="C148" s="14" t="s">
        <v>38</v>
      </c>
      <c r="D148" s="9"/>
      <c r="E148" s="9"/>
      <c r="F148" s="9"/>
      <c r="G148" s="9"/>
      <c r="H148" s="9"/>
      <c r="I148" s="9"/>
      <c r="J148" s="9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22.25" customHeight="1" x14ac:dyDescent="0.2">
      <c r="A149" s="28"/>
      <c r="B149" s="28"/>
      <c r="C149" s="17" t="s">
        <v>39</v>
      </c>
      <c r="D149" s="18">
        <f t="shared" ref="D149:J149" si="87">D144+D145+D146+D147+D148</f>
        <v>0</v>
      </c>
      <c r="E149" s="18">
        <f t="shared" si="87"/>
        <v>0</v>
      </c>
      <c r="F149" s="18">
        <f t="shared" si="87"/>
        <v>0</v>
      </c>
      <c r="G149" s="18">
        <f t="shared" si="87"/>
        <v>0</v>
      </c>
      <c r="H149" s="18">
        <f t="shared" si="87"/>
        <v>0</v>
      </c>
      <c r="I149" s="18">
        <f t="shared" si="87"/>
        <v>0</v>
      </c>
      <c r="J149" s="18">
        <f t="shared" si="87"/>
        <v>0</v>
      </c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22.25" customHeight="1" thickBot="1" x14ac:dyDescent="0.25">
      <c r="A150" s="29"/>
      <c r="B150" s="29"/>
      <c r="C150" s="16" t="s">
        <v>22</v>
      </c>
      <c r="D150" s="19">
        <f>D144*0.1</f>
        <v>0</v>
      </c>
      <c r="E150" s="19">
        <f t="shared" ref="E150:J150" si="88">E144*0.1</f>
        <v>0</v>
      </c>
      <c r="F150" s="19">
        <f t="shared" si="88"/>
        <v>0</v>
      </c>
      <c r="G150" s="19">
        <f t="shared" si="88"/>
        <v>0</v>
      </c>
      <c r="H150" s="19">
        <f t="shared" si="88"/>
        <v>0</v>
      </c>
      <c r="I150" s="19">
        <f t="shared" si="88"/>
        <v>0</v>
      </c>
      <c r="J150" s="19">
        <f t="shared" si="88"/>
        <v>0</v>
      </c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22.25" customHeight="1" x14ac:dyDescent="0.2">
      <c r="A151" s="27"/>
      <c r="B151" s="30"/>
      <c r="C151" s="14" t="s">
        <v>37</v>
      </c>
      <c r="D151" s="9"/>
      <c r="E151" s="9"/>
      <c r="F151" s="9"/>
      <c r="G151" s="9"/>
      <c r="H151" s="9"/>
      <c r="I151" s="9"/>
      <c r="J151" s="9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22.25" customHeight="1" x14ac:dyDescent="0.2">
      <c r="A152" s="28"/>
      <c r="B152" s="28"/>
      <c r="C152" s="14" t="s">
        <v>41</v>
      </c>
      <c r="D152" s="9">
        <f>-(D151*0.05)</f>
        <v>0</v>
      </c>
      <c r="E152" s="9">
        <f t="shared" ref="E152:J152" si="89">-(E151*0.05)</f>
        <v>0</v>
      </c>
      <c r="F152" s="9">
        <f t="shared" si="89"/>
        <v>0</v>
      </c>
      <c r="G152" s="9">
        <f t="shared" si="89"/>
        <v>0</v>
      </c>
      <c r="H152" s="9">
        <f t="shared" si="89"/>
        <v>0</v>
      </c>
      <c r="I152" s="9">
        <f t="shared" si="89"/>
        <v>0</v>
      </c>
      <c r="J152" s="9">
        <f t="shared" si="89"/>
        <v>0</v>
      </c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22.25" customHeight="1" x14ac:dyDescent="0.2">
      <c r="A153" s="28"/>
      <c r="B153" s="28"/>
      <c r="C153" s="14" t="s">
        <v>42</v>
      </c>
      <c r="D153" s="9"/>
      <c r="E153" s="9"/>
      <c r="F153" s="9"/>
      <c r="G153" s="9"/>
      <c r="H153" s="9"/>
      <c r="I153" s="9"/>
      <c r="J153" s="9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22.25" customHeight="1" x14ac:dyDescent="0.2">
      <c r="A154" s="28"/>
      <c r="B154" s="28"/>
      <c r="C154" s="14" t="s">
        <v>43</v>
      </c>
      <c r="D154" s="9">
        <f>-(D151*0.1)</f>
        <v>0</v>
      </c>
      <c r="E154" s="9">
        <f t="shared" ref="E154:J154" si="90">-(E151*0.1)</f>
        <v>0</v>
      </c>
      <c r="F154" s="9">
        <f t="shared" si="90"/>
        <v>0</v>
      </c>
      <c r="G154" s="9">
        <f t="shared" si="90"/>
        <v>0</v>
      </c>
      <c r="H154" s="9">
        <f t="shared" si="90"/>
        <v>0</v>
      </c>
      <c r="I154" s="9">
        <f t="shared" si="90"/>
        <v>0</v>
      </c>
      <c r="J154" s="9">
        <f t="shared" si="90"/>
        <v>0</v>
      </c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22.25" customHeight="1" x14ac:dyDescent="0.2">
      <c r="A155" s="28"/>
      <c r="B155" s="28"/>
      <c r="C155" s="14" t="s">
        <v>38</v>
      </c>
      <c r="D155" s="9"/>
      <c r="E155" s="9"/>
      <c r="F155" s="9"/>
      <c r="G155" s="9"/>
      <c r="H155" s="9"/>
      <c r="I155" s="9"/>
      <c r="J155" s="9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22.25" customHeight="1" x14ac:dyDescent="0.2">
      <c r="A156" s="28"/>
      <c r="B156" s="28"/>
      <c r="C156" s="17" t="s">
        <v>39</v>
      </c>
      <c r="D156" s="18">
        <f t="shared" ref="D156:J156" si="91">D151+D152+D153+D154+D155</f>
        <v>0</v>
      </c>
      <c r="E156" s="18">
        <f t="shared" si="91"/>
        <v>0</v>
      </c>
      <c r="F156" s="18">
        <f t="shared" si="91"/>
        <v>0</v>
      </c>
      <c r="G156" s="18">
        <f t="shared" si="91"/>
        <v>0</v>
      </c>
      <c r="H156" s="18">
        <f t="shared" si="91"/>
        <v>0</v>
      </c>
      <c r="I156" s="18">
        <f t="shared" si="91"/>
        <v>0</v>
      </c>
      <c r="J156" s="18">
        <f t="shared" si="91"/>
        <v>0</v>
      </c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22.25" customHeight="1" thickBot="1" x14ac:dyDescent="0.25">
      <c r="A157" s="29"/>
      <c r="B157" s="29"/>
      <c r="C157" s="16" t="s">
        <v>22</v>
      </c>
      <c r="D157" s="19">
        <f>D151*0.1</f>
        <v>0</v>
      </c>
      <c r="E157" s="19">
        <f t="shared" ref="E157:J157" si="92">E151*0.1</f>
        <v>0</v>
      </c>
      <c r="F157" s="19">
        <f t="shared" si="92"/>
        <v>0</v>
      </c>
      <c r="G157" s="19">
        <f t="shared" si="92"/>
        <v>0</v>
      </c>
      <c r="H157" s="19">
        <f t="shared" si="92"/>
        <v>0</v>
      </c>
      <c r="I157" s="19">
        <f t="shared" si="92"/>
        <v>0</v>
      </c>
      <c r="J157" s="19">
        <f t="shared" si="92"/>
        <v>0</v>
      </c>
      <c r="K157" s="5"/>
      <c r="L157" s="5"/>
      <c r="M157" s="5"/>
      <c r="N157" s="5"/>
      <c r="O157" s="5"/>
      <c r="P157" s="5"/>
      <c r="Q157" s="5"/>
      <c r="R157" s="5"/>
      <c r="S157" s="5"/>
    </row>
  </sheetData>
  <mergeCells count="51">
    <mergeCell ref="A18:A24"/>
    <mergeCell ref="B18:B24"/>
    <mergeCell ref="A1:J1"/>
    <mergeCell ref="A2:A3"/>
    <mergeCell ref="E2:G2"/>
    <mergeCell ref="H2:J2"/>
    <mergeCell ref="Q2:S2"/>
    <mergeCell ref="A4:A10"/>
    <mergeCell ref="B4:B10"/>
    <mergeCell ref="A11:A17"/>
    <mergeCell ref="B11:B17"/>
    <mergeCell ref="K2:M2"/>
    <mergeCell ref="N2:P2"/>
    <mergeCell ref="A25:A31"/>
    <mergeCell ref="B25:B31"/>
    <mergeCell ref="A32:A38"/>
    <mergeCell ref="B32:B38"/>
    <mergeCell ref="A39:A45"/>
    <mergeCell ref="B39:B45"/>
    <mergeCell ref="A46:A52"/>
    <mergeCell ref="B46:B52"/>
    <mergeCell ref="A53:A59"/>
    <mergeCell ref="B53:B59"/>
    <mergeCell ref="A60:A66"/>
    <mergeCell ref="B60:B66"/>
    <mergeCell ref="A67:A73"/>
    <mergeCell ref="B67:B73"/>
    <mergeCell ref="A74:A80"/>
    <mergeCell ref="B74:B80"/>
    <mergeCell ref="A81:A87"/>
    <mergeCell ref="B81:B87"/>
    <mergeCell ref="A88:A94"/>
    <mergeCell ref="B88:B94"/>
    <mergeCell ref="A95:A101"/>
    <mergeCell ref="B95:B101"/>
    <mergeCell ref="A102:A108"/>
    <mergeCell ref="B102:B108"/>
    <mergeCell ref="A109:A115"/>
    <mergeCell ref="B109:B115"/>
    <mergeCell ref="A116:A122"/>
    <mergeCell ref="B116:B122"/>
    <mergeCell ref="A123:A129"/>
    <mergeCell ref="B123:B129"/>
    <mergeCell ref="A151:A157"/>
    <mergeCell ref="B151:B157"/>
    <mergeCell ref="A130:A136"/>
    <mergeCell ref="B130:B136"/>
    <mergeCell ref="A137:A143"/>
    <mergeCell ref="B137:B143"/>
    <mergeCell ref="A144:A150"/>
    <mergeCell ref="B144:B150"/>
  </mergeCells>
  <pageMargins left="0.25" right="0.25" top="0.47499999999999998" bottom="0.34166666666666667" header="0.3" footer="0.3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4054-40F1-4D28-9FDF-65EF2F4E5ACD}">
  <sheetPr>
    <pageSetUpPr fitToPage="1"/>
  </sheetPr>
  <dimension ref="A1:V14"/>
  <sheetViews>
    <sheetView rightToLeft="1" view="pageBreakPreview" zoomScaleNormal="100" zoomScaleSheetLayoutView="100" workbookViewId="0">
      <selection activeCell="H11" sqref="H11"/>
    </sheetView>
  </sheetViews>
  <sheetFormatPr baseColWidth="10" defaultColWidth="8.83203125" defaultRowHeight="16" x14ac:dyDescent="0.2"/>
  <cols>
    <col min="1" max="1" width="9.33203125" style="1" bestFit="1" customWidth="1"/>
    <col min="2" max="2" width="13.6640625" style="1" bestFit="1" customWidth="1"/>
    <col min="3" max="3" width="13.83203125" style="1" bestFit="1" customWidth="1"/>
    <col min="4" max="4" width="11.83203125" style="1" bestFit="1" customWidth="1"/>
    <col min="5" max="5" width="11" style="1" bestFit="1" customWidth="1"/>
    <col min="6" max="6" width="12.33203125" style="1" bestFit="1" customWidth="1"/>
    <col min="7" max="7" width="2.5" style="1" bestFit="1" customWidth="1"/>
    <col min="8" max="8" width="11" style="1" bestFit="1" customWidth="1"/>
    <col min="9" max="9" width="10.6640625" style="1" bestFit="1" customWidth="1"/>
    <col min="10" max="10" width="9.1640625" style="1" bestFit="1" customWidth="1"/>
    <col min="11" max="11" width="2.5" style="1" bestFit="1" customWidth="1"/>
    <col min="12" max="12" width="10.5" style="1" bestFit="1" customWidth="1"/>
    <col min="13" max="13" width="9.1640625" style="1" bestFit="1" customWidth="1"/>
    <col min="14" max="14" width="2.5" style="1" bestFit="1" customWidth="1"/>
    <col min="15" max="15" width="9.83203125" style="1" bestFit="1" customWidth="1"/>
    <col min="16" max="16" width="11.33203125" style="1" bestFit="1" customWidth="1"/>
    <col min="17" max="17" width="9.5" style="1" bestFit="1" customWidth="1"/>
    <col min="18" max="18" width="10" style="1" bestFit="1" customWidth="1"/>
    <col min="19" max="19" width="10.33203125" style="1" bestFit="1" customWidth="1"/>
    <col min="20" max="20" width="9.1640625" style="1" bestFit="1" customWidth="1"/>
    <col min="21" max="21" width="2.5" style="1" bestFit="1" customWidth="1"/>
    <col min="22" max="22" width="9.83203125" style="1" bestFit="1" customWidth="1"/>
    <col min="23" max="16384" width="8.83203125" style="1"/>
  </cols>
  <sheetData>
    <row r="1" spans="1:22" ht="36.5" customHeight="1" x14ac:dyDescent="0.2">
      <c r="A1" s="34" t="s">
        <v>55</v>
      </c>
      <c r="B1" s="34"/>
      <c r="C1" s="34"/>
      <c r="D1" s="34"/>
      <c r="E1" s="34"/>
      <c r="F1" s="34"/>
      <c r="G1" s="34"/>
      <c r="H1" s="35"/>
      <c r="I1" s="36" t="s">
        <v>56</v>
      </c>
      <c r="J1" s="37"/>
      <c r="K1" s="37"/>
      <c r="L1" s="37"/>
      <c r="M1" s="37"/>
      <c r="N1" s="37"/>
      <c r="O1" s="38"/>
      <c r="P1" s="36" t="s">
        <v>57</v>
      </c>
      <c r="Q1" s="37"/>
      <c r="R1" s="37"/>
      <c r="S1" s="37"/>
      <c r="T1" s="37"/>
      <c r="U1" s="37"/>
      <c r="V1" s="38"/>
    </row>
    <row r="2" spans="1:22" x14ac:dyDescent="0.2">
      <c r="A2" s="39" t="s">
        <v>1</v>
      </c>
      <c r="B2" s="6" t="s">
        <v>32</v>
      </c>
      <c r="C2" s="33" t="s">
        <v>33</v>
      </c>
      <c r="D2" s="33"/>
      <c r="E2" s="33"/>
      <c r="F2" s="33" t="s">
        <v>34</v>
      </c>
      <c r="G2" s="33"/>
      <c r="H2" s="33"/>
      <c r="I2" s="6" t="s">
        <v>32</v>
      </c>
      <c r="J2" s="33" t="s">
        <v>33</v>
      </c>
      <c r="K2" s="33"/>
      <c r="L2" s="33"/>
      <c r="M2" s="33" t="s">
        <v>34</v>
      </c>
      <c r="N2" s="33"/>
      <c r="O2" s="33"/>
      <c r="P2" s="6" t="s">
        <v>32</v>
      </c>
      <c r="Q2" s="33" t="s">
        <v>33</v>
      </c>
      <c r="R2" s="33"/>
      <c r="S2" s="33"/>
      <c r="T2" s="33" t="s">
        <v>34</v>
      </c>
      <c r="U2" s="33"/>
      <c r="V2" s="33"/>
    </row>
    <row r="3" spans="1:22" ht="17" customHeight="1" x14ac:dyDescent="0.2">
      <c r="A3" s="40"/>
      <c r="B3" s="11">
        <v>30</v>
      </c>
      <c r="C3" s="11">
        <v>10</v>
      </c>
      <c r="D3" s="11">
        <v>20</v>
      </c>
      <c r="E3" s="11">
        <v>30</v>
      </c>
      <c r="F3" s="11">
        <v>10</v>
      </c>
      <c r="G3" s="11">
        <v>20</v>
      </c>
      <c r="H3" s="11">
        <v>30</v>
      </c>
      <c r="I3" s="11">
        <v>30</v>
      </c>
      <c r="J3" s="11">
        <v>10</v>
      </c>
      <c r="K3" s="11">
        <v>20</v>
      </c>
      <c r="L3" s="11">
        <v>30</v>
      </c>
      <c r="M3" s="11">
        <v>10</v>
      </c>
      <c r="N3" s="11">
        <v>20</v>
      </c>
      <c r="O3" s="11">
        <v>30</v>
      </c>
      <c r="P3" s="11">
        <v>30</v>
      </c>
      <c r="Q3" s="11">
        <v>10</v>
      </c>
      <c r="R3" s="11">
        <v>20</v>
      </c>
      <c r="S3" s="11">
        <v>30</v>
      </c>
      <c r="T3" s="11">
        <v>10</v>
      </c>
      <c r="U3" s="11">
        <v>20</v>
      </c>
      <c r="V3" s="11">
        <v>30</v>
      </c>
    </row>
    <row r="4" spans="1:22" ht="22.25" customHeight="1" x14ac:dyDescent="0.2">
      <c r="A4" s="17" t="s">
        <v>58</v>
      </c>
      <c r="B4" s="18">
        <v>0</v>
      </c>
      <c r="C4" s="18">
        <v>62000000000</v>
      </c>
      <c r="D4" s="18"/>
      <c r="E4" s="18"/>
      <c r="F4" s="18">
        <v>62000000000</v>
      </c>
      <c r="G4" s="18"/>
      <c r="H4" s="18"/>
      <c r="I4" s="18">
        <v>3500000000</v>
      </c>
      <c r="J4" s="18"/>
      <c r="K4" s="18"/>
      <c r="L4" s="18">
        <v>3500000000</v>
      </c>
      <c r="M4" s="18"/>
      <c r="N4" s="18"/>
      <c r="O4" s="18"/>
      <c r="P4" s="18">
        <v>6500000000</v>
      </c>
      <c r="Q4" s="18"/>
      <c r="R4" s="18"/>
      <c r="S4" s="18">
        <v>6500000000</v>
      </c>
      <c r="T4" s="18"/>
      <c r="U4" s="18"/>
      <c r="V4" s="18"/>
    </row>
    <row r="5" spans="1:22" ht="22.25" customHeight="1" x14ac:dyDescent="0.2">
      <c r="A5" s="17" t="s">
        <v>59</v>
      </c>
      <c r="B5" s="18">
        <v>5400000000</v>
      </c>
      <c r="C5" s="18"/>
      <c r="D5" s="18"/>
      <c r="E5" s="18">
        <v>5400000000</v>
      </c>
      <c r="F5" s="18"/>
      <c r="G5" s="18"/>
      <c r="H5" s="18">
        <v>7400000000</v>
      </c>
      <c r="I5" s="18">
        <v>800000000</v>
      </c>
      <c r="J5" s="18"/>
      <c r="K5" s="18"/>
      <c r="L5" s="18">
        <v>800000000</v>
      </c>
      <c r="M5" s="18"/>
      <c r="N5" s="18"/>
      <c r="O5" s="18">
        <v>1000000000</v>
      </c>
      <c r="P5" s="18">
        <v>180000000</v>
      </c>
      <c r="Q5" s="18"/>
      <c r="R5" s="18"/>
      <c r="S5" s="18">
        <v>180000000</v>
      </c>
      <c r="T5" s="18"/>
      <c r="U5" s="18"/>
      <c r="V5" s="18">
        <v>300000000</v>
      </c>
    </row>
    <row r="6" spans="1:22" ht="22.25" customHeight="1" x14ac:dyDescent="0.2">
      <c r="A6" s="17" t="s">
        <v>60</v>
      </c>
      <c r="B6" s="18">
        <f>15210047498+2750000000</f>
        <v>17960047498</v>
      </c>
      <c r="C6" s="18">
        <v>7605023749</v>
      </c>
      <c r="D6" s="18"/>
      <c r="E6" s="18">
        <v>2750000000</v>
      </c>
      <c r="F6" s="18"/>
      <c r="G6" s="18"/>
      <c r="H6" s="18">
        <v>4000000000</v>
      </c>
      <c r="I6" s="18">
        <v>400000000</v>
      </c>
      <c r="J6" s="18"/>
      <c r="K6" s="18"/>
      <c r="L6" s="18">
        <v>400000000</v>
      </c>
      <c r="M6" s="18"/>
      <c r="N6" s="18"/>
      <c r="O6" s="18">
        <v>600000000</v>
      </c>
      <c r="P6" s="18">
        <v>130000000</v>
      </c>
      <c r="Q6" s="18"/>
      <c r="R6" s="18"/>
      <c r="S6" s="18">
        <v>130000000</v>
      </c>
      <c r="T6" s="18"/>
      <c r="U6" s="18"/>
      <c r="V6" s="18">
        <v>130000000</v>
      </c>
    </row>
    <row r="7" spans="1:22" ht="22.25" customHeight="1" x14ac:dyDescent="0.2">
      <c r="A7" s="17" t="s">
        <v>61</v>
      </c>
      <c r="B7" s="18">
        <v>7780000000</v>
      </c>
      <c r="C7" s="18"/>
      <c r="D7" s="18"/>
      <c r="E7" s="18"/>
      <c r="F7" s="18"/>
      <c r="G7" s="18"/>
      <c r="H7" s="18"/>
      <c r="I7" s="18">
        <v>720000000</v>
      </c>
      <c r="J7" s="18"/>
      <c r="K7" s="18"/>
      <c r="L7" s="18"/>
      <c r="M7" s="18"/>
      <c r="N7" s="18"/>
      <c r="O7" s="18"/>
      <c r="P7" s="18">
        <v>2010000000</v>
      </c>
      <c r="Q7" s="18"/>
      <c r="R7" s="18"/>
      <c r="S7" s="18"/>
      <c r="T7" s="18"/>
      <c r="U7" s="18"/>
      <c r="V7" s="18"/>
    </row>
    <row r="8" spans="1:22" ht="22.25" customHeight="1" x14ac:dyDescent="0.2">
      <c r="A8" s="17" t="s">
        <v>62</v>
      </c>
      <c r="B8" s="18"/>
      <c r="C8" s="18"/>
      <c r="D8" s="18"/>
      <c r="E8" s="18"/>
      <c r="F8" s="18"/>
      <c r="G8" s="18"/>
      <c r="H8" s="18">
        <v>250000000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>
        <v>550000000</v>
      </c>
    </row>
    <row r="9" spans="1:22" ht="22.25" customHeight="1" x14ac:dyDescent="0.2">
      <c r="A9" s="17" t="s">
        <v>63</v>
      </c>
      <c r="B9" s="18"/>
      <c r="C9" s="18">
        <v>1175000000</v>
      </c>
      <c r="D9" s="18"/>
      <c r="E9" s="18"/>
      <c r="F9" s="18">
        <v>1175000000</v>
      </c>
      <c r="G9" s="18"/>
      <c r="I9" s="18"/>
      <c r="J9" s="18">
        <v>280000000</v>
      </c>
      <c r="K9" s="18"/>
      <c r="L9" s="18"/>
      <c r="M9" s="18">
        <v>280000000</v>
      </c>
      <c r="N9" s="18"/>
      <c r="O9" s="18"/>
      <c r="P9" s="18"/>
      <c r="Q9" s="18">
        <v>221000000</v>
      </c>
      <c r="R9" s="18"/>
      <c r="S9" s="18"/>
      <c r="T9" s="18">
        <v>221000000</v>
      </c>
      <c r="U9" s="18"/>
      <c r="V9" s="18"/>
    </row>
    <row r="10" spans="1:22" ht="22.25" customHeight="1" x14ac:dyDescent="0.2">
      <c r="A10" s="17" t="s">
        <v>64</v>
      </c>
      <c r="B10" s="18"/>
      <c r="C10" s="18">
        <v>5000000000</v>
      </c>
      <c r="D10" s="18">
        <v>5000000000</v>
      </c>
      <c r="E10" s="18"/>
      <c r="F10" s="18"/>
      <c r="G10" s="18"/>
      <c r="H10" s="18">
        <v>500000000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22.25" customHeight="1" x14ac:dyDescent="0.2">
      <c r="A11" s="22" t="s">
        <v>65</v>
      </c>
      <c r="B11" s="23"/>
      <c r="C11" s="23"/>
      <c r="D11" s="23">
        <v>55000000000</v>
      </c>
      <c r="E11" s="23"/>
      <c r="F11" s="23"/>
      <c r="G11" s="23"/>
      <c r="H11" s="23"/>
      <c r="I11" s="23">
        <v>3500000000</v>
      </c>
      <c r="J11" s="23"/>
      <c r="K11" s="23"/>
      <c r="L11" s="23"/>
      <c r="M11" s="23"/>
      <c r="N11" s="23"/>
      <c r="O11" s="23"/>
      <c r="P11" s="23">
        <v>6500000000</v>
      </c>
      <c r="Q11" s="23"/>
      <c r="R11" s="23"/>
      <c r="S11" s="23"/>
      <c r="T11" s="23"/>
      <c r="U11" s="23"/>
      <c r="V11" s="23"/>
    </row>
    <row r="12" spans="1:22" ht="22.25" customHeight="1" x14ac:dyDescent="0.2">
      <c r="A12" s="22" t="s">
        <v>66</v>
      </c>
      <c r="B12" s="18">
        <v>1500000000</v>
      </c>
      <c r="C12" s="23">
        <v>1500000000</v>
      </c>
      <c r="D12" s="18">
        <v>1500000000</v>
      </c>
      <c r="E12" s="18">
        <v>2500000000</v>
      </c>
      <c r="F12" s="18">
        <v>2200000000</v>
      </c>
      <c r="G12" s="23"/>
      <c r="H12" s="18">
        <v>1300000000</v>
      </c>
      <c r="I12" s="23"/>
      <c r="J12" s="23"/>
      <c r="K12" s="23"/>
      <c r="L12" s="23"/>
      <c r="M12" s="23"/>
      <c r="N12" s="23"/>
      <c r="O12" s="23"/>
      <c r="P12" s="23">
        <v>1000000000</v>
      </c>
      <c r="Q12" s="23">
        <v>1000000000</v>
      </c>
      <c r="R12" s="23">
        <v>6000000000</v>
      </c>
      <c r="S12" s="23"/>
      <c r="T12" s="23"/>
      <c r="U12" s="23"/>
      <c r="V12" s="23">
        <v>2000000000</v>
      </c>
    </row>
    <row r="13" spans="1:22" ht="22.25" customHeight="1" thickBot="1" x14ac:dyDescent="0.25">
      <c r="A13" s="16" t="s">
        <v>67</v>
      </c>
      <c r="B13" s="23"/>
      <c r="C13" s="23"/>
      <c r="D13" s="23">
        <v>90000000000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>
        <f>1500000000+1500000000</f>
        <v>3000000000</v>
      </c>
      <c r="Q13" s="23"/>
      <c r="R13" s="23"/>
      <c r="S13" s="23">
        <v>3500000000</v>
      </c>
      <c r="T13" s="23"/>
      <c r="U13" s="23"/>
      <c r="V13" s="23"/>
    </row>
    <row r="14" spans="1:22" ht="22.25" customHeight="1" thickBot="1" x14ac:dyDescent="0.25">
      <c r="A14" s="16" t="s">
        <v>68</v>
      </c>
      <c r="B14" s="19">
        <f t="shared" ref="B14:H14" si="0">SUM(B4:B13)</f>
        <v>32640047498</v>
      </c>
      <c r="C14" s="19">
        <f t="shared" si="0"/>
        <v>77280023749</v>
      </c>
      <c r="D14" s="19">
        <f t="shared" si="0"/>
        <v>151500000000</v>
      </c>
      <c r="E14" s="19">
        <f t="shared" si="0"/>
        <v>10650000000</v>
      </c>
      <c r="F14" s="19">
        <f t="shared" si="0"/>
        <v>65375000000</v>
      </c>
      <c r="G14" s="19">
        <f t="shared" si="0"/>
        <v>0</v>
      </c>
      <c r="H14" s="19">
        <f t="shared" si="0"/>
        <v>13450000000</v>
      </c>
      <c r="I14" s="19">
        <f>SUM(I4:I13)</f>
        <v>8920000000</v>
      </c>
      <c r="J14" s="19">
        <f>SUM(J4:J13)</f>
        <v>280000000</v>
      </c>
      <c r="K14" s="19">
        <f>SUM(K4:K13)</f>
        <v>0</v>
      </c>
      <c r="L14" s="19">
        <f t="shared" ref="L14:V14" si="1">SUM(L4:L13)</f>
        <v>4700000000</v>
      </c>
      <c r="M14" s="19">
        <f t="shared" si="1"/>
        <v>280000000</v>
      </c>
      <c r="N14" s="19">
        <f t="shared" si="1"/>
        <v>0</v>
      </c>
      <c r="O14" s="19">
        <f t="shared" si="1"/>
        <v>1600000000</v>
      </c>
      <c r="P14" s="19">
        <f t="shared" si="1"/>
        <v>19320000000</v>
      </c>
      <c r="Q14" s="19">
        <f t="shared" si="1"/>
        <v>1221000000</v>
      </c>
      <c r="R14" s="19">
        <f t="shared" si="1"/>
        <v>6000000000</v>
      </c>
      <c r="S14" s="19">
        <f t="shared" si="1"/>
        <v>10310000000</v>
      </c>
      <c r="T14" s="19">
        <f t="shared" si="1"/>
        <v>221000000</v>
      </c>
      <c r="U14" s="19">
        <f t="shared" si="1"/>
        <v>0</v>
      </c>
      <c r="V14" s="19">
        <f t="shared" si="1"/>
        <v>2980000000</v>
      </c>
    </row>
  </sheetData>
  <mergeCells count="10">
    <mergeCell ref="A1:H1"/>
    <mergeCell ref="I1:O1"/>
    <mergeCell ref="P1:V1"/>
    <mergeCell ref="A2:A3"/>
    <mergeCell ref="C2:E2"/>
    <mergeCell ref="F2:H2"/>
    <mergeCell ref="J2:L2"/>
    <mergeCell ref="M2:O2"/>
    <mergeCell ref="Q2:S2"/>
    <mergeCell ref="T2:V2"/>
  </mergeCells>
  <pageMargins left="0.25" right="0.25" top="0.47499999999999998" bottom="0.34166666666666667" header="0.3" footer="0.3"/>
  <pageSetup paperSize="9" scale="6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07359-5097-41AD-A276-5E14D53F12B3}">
  <sheetPr>
    <pageSetUpPr fitToPage="1"/>
  </sheetPr>
  <dimension ref="A1:Z11"/>
  <sheetViews>
    <sheetView rightToLeft="1" view="pageBreakPreview" zoomScale="85" zoomScaleNormal="100" zoomScaleSheetLayoutView="85" workbookViewId="0">
      <selection activeCell="M6" sqref="M6"/>
    </sheetView>
  </sheetViews>
  <sheetFormatPr baseColWidth="10" defaultColWidth="8.83203125" defaultRowHeight="16" x14ac:dyDescent="0.2"/>
  <cols>
    <col min="1" max="1" width="5.5" style="1" customWidth="1"/>
    <col min="2" max="2" width="17.6640625" style="1" customWidth="1"/>
    <col min="3" max="3" width="16.1640625" style="1" bestFit="1" customWidth="1"/>
    <col min="4" max="6" width="17.33203125" style="1" bestFit="1" customWidth="1"/>
    <col min="7" max="7" width="15.6640625" style="1" bestFit="1" customWidth="1"/>
    <col min="8" max="8" width="17.33203125" style="1" bestFit="1" customWidth="1"/>
    <col min="9" max="9" width="16.33203125" style="1" bestFit="1" customWidth="1"/>
    <col min="10" max="10" width="15.5" style="1" bestFit="1" customWidth="1"/>
    <col min="11" max="11" width="18.83203125" style="1" customWidth="1"/>
    <col min="12" max="12" width="17.33203125" style="1" bestFit="1" customWidth="1"/>
    <col min="13" max="13" width="16.33203125" style="1" bestFit="1" customWidth="1"/>
    <col min="14" max="14" width="18.83203125" style="1" customWidth="1"/>
    <col min="15" max="15" width="7.6640625" style="1" customWidth="1"/>
    <col min="16" max="16384" width="8.83203125" style="1"/>
  </cols>
  <sheetData>
    <row r="1" spans="1:26" ht="36.5" customHeight="1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spans="1:26" x14ac:dyDescent="0.2">
      <c r="A2" s="41" t="s">
        <v>1</v>
      </c>
      <c r="B2" s="42"/>
      <c r="C2" s="47" t="s">
        <v>32</v>
      </c>
      <c r="D2" s="48"/>
      <c r="E2" s="47" t="s">
        <v>33</v>
      </c>
      <c r="F2" s="51"/>
      <c r="G2" s="51"/>
      <c r="H2" s="51"/>
      <c r="I2" s="51"/>
      <c r="J2" s="48"/>
      <c r="K2" s="33" t="s">
        <v>34</v>
      </c>
      <c r="L2" s="33"/>
      <c r="M2" s="33"/>
      <c r="N2" s="33"/>
    </row>
    <row r="3" spans="1:26" ht="17" customHeight="1" x14ac:dyDescent="0.2">
      <c r="A3" s="43"/>
      <c r="B3" s="44"/>
      <c r="C3" s="49">
        <v>30</v>
      </c>
      <c r="D3" s="50"/>
      <c r="E3" s="49">
        <v>10</v>
      </c>
      <c r="F3" s="52"/>
      <c r="G3" s="50"/>
      <c r="H3" s="49">
        <v>20</v>
      </c>
      <c r="I3" s="50"/>
      <c r="J3" s="11">
        <v>30</v>
      </c>
      <c r="K3" s="11">
        <v>10</v>
      </c>
      <c r="L3" s="49">
        <v>20</v>
      </c>
      <c r="M3" s="50"/>
      <c r="N3" s="11">
        <v>30</v>
      </c>
    </row>
    <row r="4" spans="1:26" ht="34" x14ac:dyDescent="0.2">
      <c r="A4" s="45"/>
      <c r="B4" s="46"/>
      <c r="C4" s="21" t="s">
        <v>51</v>
      </c>
      <c r="D4" s="25" t="s">
        <v>69</v>
      </c>
      <c r="E4" s="25" t="s">
        <v>69</v>
      </c>
      <c r="F4" s="25" t="s">
        <v>70</v>
      </c>
      <c r="G4" s="24" t="s">
        <v>51</v>
      </c>
      <c r="H4" s="25" t="s">
        <v>69</v>
      </c>
      <c r="I4" s="24" t="s">
        <v>51</v>
      </c>
      <c r="J4" s="24" t="s">
        <v>51</v>
      </c>
      <c r="K4" s="21"/>
      <c r="L4" s="25" t="s">
        <v>69</v>
      </c>
      <c r="M4" s="21" t="s">
        <v>51</v>
      </c>
      <c r="N4" s="21"/>
    </row>
    <row r="5" spans="1:26" ht="27" customHeight="1" x14ac:dyDescent="0.2">
      <c r="A5" s="30" t="s">
        <v>54</v>
      </c>
      <c r="B5" s="14" t="s">
        <v>37</v>
      </c>
      <c r="C5" s="9">
        <f>47910729957+157051629551</f>
        <v>204962359508</v>
      </c>
      <c r="D5" s="9">
        <f>7247861000+4163917000+2637180750+1518740250+4182407750</f>
        <v>19750106750</v>
      </c>
      <c r="E5" s="9">
        <f>3717640250+4528734500+2529734500</f>
        <v>10776109250</v>
      </c>
      <c r="F5" s="9">
        <f>8750129926</f>
        <v>8750129926</v>
      </c>
      <c r="G5" s="9">
        <f>53475129273+44759714422+169000000000</f>
        <v>267234843695</v>
      </c>
      <c r="H5" s="9">
        <v>800000000</v>
      </c>
      <c r="I5" s="9">
        <f>96525000000+169000000000</f>
        <v>265525000000</v>
      </c>
      <c r="J5" s="9">
        <f>0.4*169000000000</f>
        <v>67600000000</v>
      </c>
      <c r="K5" s="9"/>
      <c r="L5" s="9">
        <v>3570000000</v>
      </c>
      <c r="M5" s="9">
        <v>220350000000</v>
      </c>
      <c r="N5" s="9"/>
    </row>
    <row r="6" spans="1:26" ht="27" customHeight="1" x14ac:dyDescent="0.2">
      <c r="A6" s="28"/>
      <c r="B6" s="14" t="s">
        <v>41</v>
      </c>
      <c r="C6" s="9">
        <f t="shared" ref="C6:N6" si="0">-(C5*0.05)</f>
        <v>-10248117975.4</v>
      </c>
      <c r="D6" s="9">
        <f t="shared" si="0"/>
        <v>-987505337.5</v>
      </c>
      <c r="E6" s="9">
        <f t="shared" ref="E6:F6" si="1">-(E5*0.05)</f>
        <v>-538805462.5</v>
      </c>
      <c r="F6" s="9">
        <f t="shared" si="1"/>
        <v>-437506496.30000001</v>
      </c>
      <c r="G6" s="9">
        <f t="shared" si="0"/>
        <v>-13361742184.75</v>
      </c>
      <c r="H6" s="9">
        <f t="shared" ref="H6" si="2">-(H5*0.05)</f>
        <v>-40000000</v>
      </c>
      <c r="I6" s="9">
        <f t="shared" si="0"/>
        <v>-13276250000</v>
      </c>
      <c r="J6" s="9">
        <f t="shared" si="0"/>
        <v>-3380000000</v>
      </c>
      <c r="K6" s="9">
        <f t="shared" si="0"/>
        <v>0</v>
      </c>
      <c r="L6" s="9">
        <f t="shared" ref="L6" si="3">-(L5*0.05)</f>
        <v>-178500000</v>
      </c>
      <c r="M6" s="9">
        <f t="shared" si="0"/>
        <v>-11017500000</v>
      </c>
      <c r="N6" s="9">
        <f t="shared" si="0"/>
        <v>0</v>
      </c>
    </row>
    <row r="7" spans="1:26" ht="27" customHeight="1" x14ac:dyDescent="0.2">
      <c r="A7" s="28"/>
      <c r="B7" s="14" t="s">
        <v>52</v>
      </c>
      <c r="C7" s="9">
        <v>-31410325910</v>
      </c>
      <c r="D7" s="9">
        <f>-0.3*D5</f>
        <v>-5925032025</v>
      </c>
      <c r="E7" s="9">
        <f>-0.3*E5</f>
        <v>-3232832775</v>
      </c>
      <c r="F7" s="9"/>
      <c r="G7" s="9"/>
      <c r="H7" s="9">
        <f>-0.3*H5</f>
        <v>-240000000</v>
      </c>
      <c r="I7" s="9"/>
      <c r="J7" s="9"/>
      <c r="K7" s="9"/>
      <c r="L7" s="9">
        <f>-0.3*L5</f>
        <v>-1071000000</v>
      </c>
      <c r="M7" s="9"/>
      <c r="N7" s="9"/>
    </row>
    <row r="8" spans="1:26" ht="27" customHeight="1" x14ac:dyDescent="0.2">
      <c r="A8" s="28"/>
      <c r="B8" s="14" t="s">
        <v>53</v>
      </c>
      <c r="C8" s="9">
        <f t="shared" ref="C8:N8" si="4">-(C5*0.1)</f>
        <v>-20496235950.799999</v>
      </c>
      <c r="D8" s="9">
        <f t="shared" ref="D8" si="5">-(D5*0.1)</f>
        <v>-1975010675</v>
      </c>
      <c r="E8" s="9">
        <f t="shared" ref="E8:F8" si="6">-(E5*0.1)</f>
        <v>-1077610925</v>
      </c>
      <c r="F8" s="9">
        <f t="shared" si="6"/>
        <v>-875012992.60000002</v>
      </c>
      <c r="G8" s="9">
        <f t="shared" si="4"/>
        <v>-26723484369.5</v>
      </c>
      <c r="H8" s="9">
        <f t="shared" ref="H8" si="7">-(H5*0.1)</f>
        <v>-80000000</v>
      </c>
      <c r="I8" s="9">
        <f t="shared" si="4"/>
        <v>-26552500000</v>
      </c>
      <c r="J8" s="9">
        <f t="shared" si="4"/>
        <v>-6760000000</v>
      </c>
      <c r="K8" s="9">
        <f t="shared" si="4"/>
        <v>0</v>
      </c>
      <c r="L8" s="9">
        <f t="shared" ref="L8" si="8">-(L5*0.1)</f>
        <v>-357000000</v>
      </c>
      <c r="M8" s="9">
        <f t="shared" si="4"/>
        <v>-22035000000</v>
      </c>
      <c r="N8" s="9">
        <f t="shared" si="4"/>
        <v>0</v>
      </c>
      <c r="Z8" s="9"/>
    </row>
    <row r="9" spans="1:26" ht="27" customHeight="1" x14ac:dyDescent="0.2">
      <c r="A9" s="28"/>
      <c r="B9" s="14" t="s">
        <v>38</v>
      </c>
      <c r="C9" s="9"/>
      <c r="D9" s="9"/>
      <c r="E9" s="9"/>
      <c r="F9" s="9"/>
      <c r="G9" s="9"/>
      <c r="H9" s="9"/>
      <c r="I9" s="9"/>
      <c r="J9" s="9"/>
      <c r="L9" s="9"/>
      <c r="M9" s="9"/>
      <c r="N9" s="9"/>
    </row>
    <row r="10" spans="1:26" ht="27" customHeight="1" x14ac:dyDescent="0.2">
      <c r="A10" s="28"/>
      <c r="B10" s="17" t="s">
        <v>39</v>
      </c>
      <c r="C10" s="18">
        <f t="shared" ref="C10" si="9">C5+C6+C7+C8+C9</f>
        <v>142807679671.80002</v>
      </c>
      <c r="D10" s="18">
        <f t="shared" ref="D10:E10" si="10">D5+D6+D7+D8+D9</f>
        <v>10862558712.5</v>
      </c>
      <c r="E10" s="18">
        <f t="shared" si="10"/>
        <v>5926860087.5</v>
      </c>
      <c r="F10" s="18">
        <f t="shared" ref="F10:G10" si="11">F5+F6+F7+F8+F9</f>
        <v>7437610437.0999994</v>
      </c>
      <c r="G10" s="18">
        <f t="shared" si="11"/>
        <v>227149617140.75</v>
      </c>
      <c r="H10" s="18">
        <f t="shared" ref="H10" si="12">H5+H6+H7+H8+H9</f>
        <v>440000000</v>
      </c>
      <c r="I10" s="18">
        <f t="shared" ref="I10" si="13">I5+I6+I7+I8+I9</f>
        <v>225696250000</v>
      </c>
      <c r="J10" s="18">
        <f t="shared" ref="J10" si="14">J5+J6+J7+J8+J9</f>
        <v>57460000000</v>
      </c>
      <c r="K10" s="18">
        <f>K5+K6+K7+K8+Z8</f>
        <v>0</v>
      </c>
      <c r="L10" s="18">
        <f t="shared" ref="L10:M10" si="15">L5+L6+L7+L8+L9</f>
        <v>1963500000</v>
      </c>
      <c r="M10" s="18">
        <f t="shared" si="15"/>
        <v>187297500000</v>
      </c>
      <c r="N10" s="18">
        <f t="shared" ref="N10" si="16">N5+N6+N7+N8+N9</f>
        <v>0</v>
      </c>
    </row>
    <row r="11" spans="1:26" ht="27" customHeight="1" thickBot="1" x14ac:dyDescent="0.25">
      <c r="A11" s="29"/>
      <c r="B11" s="16" t="s">
        <v>22</v>
      </c>
      <c r="C11" s="19">
        <f>C5*0.1</f>
        <v>20496235950.799999</v>
      </c>
      <c r="D11" s="19">
        <f>D5*0.1</f>
        <v>1975010675</v>
      </c>
      <c r="E11" s="19">
        <f t="shared" ref="E11:F11" si="17">E5*0.1</f>
        <v>1077610925</v>
      </c>
      <c r="F11" s="19">
        <f t="shared" si="17"/>
        <v>875012992.60000002</v>
      </c>
      <c r="G11" s="19">
        <f t="shared" ref="G11:N11" si="18">G5*0.1</f>
        <v>26723484369.5</v>
      </c>
      <c r="H11" s="19">
        <f t="shared" ref="H11" si="19">H5*0.1</f>
        <v>80000000</v>
      </c>
      <c r="I11" s="19">
        <f t="shared" si="18"/>
        <v>26552500000</v>
      </c>
      <c r="J11" s="19">
        <f t="shared" si="18"/>
        <v>6760000000</v>
      </c>
      <c r="K11" s="19">
        <f t="shared" si="18"/>
        <v>0</v>
      </c>
      <c r="L11" s="19">
        <f t="shared" ref="L11" si="20">L5*0.1</f>
        <v>357000000</v>
      </c>
      <c r="M11" s="19">
        <f t="shared" si="18"/>
        <v>22035000000</v>
      </c>
      <c r="N11" s="19">
        <f t="shared" si="18"/>
        <v>0</v>
      </c>
    </row>
  </sheetData>
  <mergeCells count="10">
    <mergeCell ref="A5:A11"/>
    <mergeCell ref="A2:B4"/>
    <mergeCell ref="A1:N1"/>
    <mergeCell ref="K2:N2"/>
    <mergeCell ref="C2:D2"/>
    <mergeCell ref="C3:D3"/>
    <mergeCell ref="E2:J2"/>
    <mergeCell ref="E3:G3"/>
    <mergeCell ref="H3:I3"/>
    <mergeCell ref="L3:M3"/>
  </mergeCells>
  <pageMargins left="0.25" right="0.25" top="0.47499999999999998" bottom="0.34166666666666667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V44"/>
  <sheetViews>
    <sheetView rightToLeft="1" tabSelected="1" view="pageBreakPreview" zoomScale="85" zoomScaleNormal="100" zoomScaleSheetLayoutView="85" workbookViewId="0">
      <selection activeCell="D16" sqref="D16:E16"/>
    </sheetView>
  </sheetViews>
  <sheetFormatPr baseColWidth="10" defaultColWidth="8.83203125" defaultRowHeight="16" outlineLevelRow="3" x14ac:dyDescent="0.2"/>
  <cols>
    <col min="1" max="1" width="4.1640625" style="1" customWidth="1"/>
    <col min="2" max="4" width="1.33203125" style="1" customWidth="1"/>
    <col min="5" max="5" width="23.5" style="1" customWidth="1"/>
    <col min="6" max="10" width="18.83203125" style="1" customWidth="1"/>
    <col min="11" max="11" width="20.33203125" style="1" customWidth="1"/>
    <col min="12" max="12" width="18.83203125" style="1" customWidth="1"/>
    <col min="13" max="16384" width="8.83203125" style="1"/>
  </cols>
  <sheetData>
    <row r="1" spans="1:22" ht="36.5" customHeight="1" x14ac:dyDescent="0.2">
      <c r="A1" s="32" t="s">
        <v>17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22" x14ac:dyDescent="0.2">
      <c r="A2" s="31" t="s">
        <v>0</v>
      </c>
      <c r="B2" s="33" t="s">
        <v>1</v>
      </c>
      <c r="C2" s="33"/>
      <c r="D2" s="33"/>
      <c r="E2" s="33"/>
      <c r="F2" s="6" t="s">
        <v>32</v>
      </c>
      <c r="G2" s="33" t="s">
        <v>33</v>
      </c>
      <c r="H2" s="33"/>
      <c r="I2" s="33"/>
      <c r="J2" s="33" t="s">
        <v>34</v>
      </c>
      <c r="K2" s="33"/>
      <c r="L2" s="33"/>
    </row>
    <row r="3" spans="1:22" x14ac:dyDescent="0.2">
      <c r="A3" s="31"/>
      <c r="B3" s="33"/>
      <c r="C3" s="33"/>
      <c r="D3" s="33"/>
      <c r="E3" s="33"/>
      <c r="F3" s="11">
        <v>30</v>
      </c>
      <c r="G3" s="11">
        <v>10</v>
      </c>
      <c r="H3" s="11">
        <v>20</v>
      </c>
      <c r="I3" s="11">
        <v>30</v>
      </c>
      <c r="J3" s="11">
        <v>10</v>
      </c>
      <c r="K3" s="11">
        <v>20</v>
      </c>
      <c r="L3" s="11">
        <v>30</v>
      </c>
    </row>
    <row r="4" spans="1:22" ht="30.5" customHeight="1" x14ac:dyDescent="0.2">
      <c r="A4" s="66" t="s">
        <v>115</v>
      </c>
      <c r="B4" s="67"/>
      <c r="C4" s="67"/>
      <c r="D4" s="67"/>
      <c r="E4" s="68"/>
      <c r="F4" s="20">
        <f t="shared" ref="F4:L4" si="0">F5+F6-F26</f>
        <v>102181737438.3</v>
      </c>
      <c r="G4" s="20">
        <f t="shared" si="0"/>
        <v>288914801354.65002</v>
      </c>
      <c r="H4" s="20">
        <f t="shared" si="0"/>
        <v>357551051354.65002</v>
      </c>
      <c r="I4" s="20">
        <f t="shared" si="0"/>
        <v>389351051354.65002</v>
      </c>
      <c r="J4" s="20">
        <f t="shared" si="0"/>
        <v>323475051354.65002</v>
      </c>
      <c r="K4" s="20">
        <f t="shared" si="0"/>
        <v>512736051354.65002</v>
      </c>
      <c r="L4" s="20">
        <f t="shared" si="0"/>
        <v>497256051354.65002</v>
      </c>
    </row>
    <row r="5" spans="1:22" outlineLevel="1" x14ac:dyDescent="0.2">
      <c r="A5" s="71">
        <v>1</v>
      </c>
      <c r="B5" s="61"/>
      <c r="C5" s="61" t="s">
        <v>71</v>
      </c>
      <c r="D5" s="61"/>
      <c r="E5" s="62"/>
      <c r="F5" s="12">
        <v>9391546552</v>
      </c>
      <c r="G5" s="12">
        <f t="shared" ref="G5:L5" si="1">F4</f>
        <v>102181737438.3</v>
      </c>
      <c r="H5" s="12">
        <f t="shared" si="1"/>
        <v>288914801354.65002</v>
      </c>
      <c r="I5" s="12">
        <f t="shared" si="1"/>
        <v>357551051354.65002</v>
      </c>
      <c r="J5" s="12">
        <f t="shared" si="1"/>
        <v>389351051354.65002</v>
      </c>
      <c r="K5" s="12">
        <f t="shared" si="1"/>
        <v>323475051354.65002</v>
      </c>
      <c r="L5" s="12">
        <f t="shared" si="1"/>
        <v>512736051354.65002</v>
      </c>
    </row>
    <row r="6" spans="1:22" outlineLevel="1" x14ac:dyDescent="0.2">
      <c r="A6" s="3">
        <v>2</v>
      </c>
      <c r="B6" s="63" t="s">
        <v>4</v>
      </c>
      <c r="C6" s="63"/>
      <c r="D6" s="63"/>
      <c r="E6" s="64"/>
      <c r="F6" s="8">
        <f t="shared" ref="F6:L6" si="2">F7+F18</f>
        <v>176141485010.10001</v>
      </c>
      <c r="G6" s="8">
        <f t="shared" si="2"/>
        <v>293190195952.45001</v>
      </c>
      <c r="H6" s="8">
        <f t="shared" si="2"/>
        <v>252768750000</v>
      </c>
      <c r="I6" s="8">
        <f t="shared" si="2"/>
        <v>64220000000</v>
      </c>
      <c r="J6" s="8">
        <f t="shared" si="2"/>
        <v>0</v>
      </c>
      <c r="K6" s="8">
        <f t="shared" si="2"/>
        <v>211653000000</v>
      </c>
      <c r="L6" s="8">
        <f t="shared" si="2"/>
        <v>0</v>
      </c>
    </row>
    <row r="7" spans="1:22" outlineLevel="2" x14ac:dyDescent="0.2">
      <c r="A7" s="58">
        <v>2.1</v>
      </c>
      <c r="B7" s="59"/>
      <c r="C7" s="59" t="s">
        <v>2</v>
      </c>
      <c r="D7" s="59"/>
      <c r="E7" s="65"/>
      <c r="F7" s="12">
        <f t="shared" ref="F7:L7" si="3">SUM(F8:F17)</f>
        <v>153670238384.30002</v>
      </c>
      <c r="G7" s="12">
        <f t="shared" si="3"/>
        <v>240514087665.35001</v>
      </c>
      <c r="H7" s="12">
        <f t="shared" si="3"/>
        <v>226136250000</v>
      </c>
      <c r="I7" s="12">
        <f t="shared" si="3"/>
        <v>57460000000</v>
      </c>
      <c r="J7" s="12">
        <f t="shared" si="3"/>
        <v>0</v>
      </c>
      <c r="K7" s="12">
        <f t="shared" si="3"/>
        <v>189261000000</v>
      </c>
      <c r="L7" s="12">
        <f t="shared" si="3"/>
        <v>0</v>
      </c>
    </row>
    <row r="8" spans="1:22" outlineLevel="3" x14ac:dyDescent="0.2">
      <c r="A8" s="53" t="s">
        <v>8</v>
      </c>
      <c r="B8" s="54"/>
      <c r="C8" s="54"/>
      <c r="D8" s="54" t="s">
        <v>72</v>
      </c>
      <c r="E8" s="55"/>
      <c r="F8" s="9"/>
      <c r="G8" s="9"/>
      <c r="H8" s="9"/>
      <c r="I8" s="9"/>
      <c r="J8" s="9"/>
      <c r="K8" s="9"/>
      <c r="L8" s="9"/>
    </row>
    <row r="9" spans="1:22" outlineLevel="3" x14ac:dyDescent="0.2">
      <c r="A9" s="53" t="s">
        <v>9</v>
      </c>
      <c r="B9" s="54"/>
      <c r="C9" s="54"/>
      <c r="D9" s="54" t="s">
        <v>77</v>
      </c>
      <c r="E9" s="55"/>
      <c r="F9" s="9"/>
      <c r="G9" s="9"/>
      <c r="H9" s="9"/>
      <c r="I9" s="9"/>
      <c r="J9" s="9"/>
      <c r="K9" s="9"/>
      <c r="L9" s="9"/>
    </row>
    <row r="10" spans="1:22" outlineLevel="3" x14ac:dyDescent="0.2">
      <c r="A10" s="53" t="s">
        <v>10</v>
      </c>
      <c r="B10" s="54"/>
      <c r="C10" s="54"/>
      <c r="D10" s="54" t="s">
        <v>74</v>
      </c>
      <c r="E10" s="55"/>
      <c r="F10" s="9">
        <f>'Operational Income'!D10</f>
        <v>10862558712.5</v>
      </c>
      <c r="G10" s="9">
        <f>'Operational Income'!E10+'Operational Income'!F10</f>
        <v>13364470524.599998</v>
      </c>
      <c r="H10" s="9">
        <f>'Operational Income'!H10</f>
        <v>440000000</v>
      </c>
      <c r="I10" s="9"/>
      <c r="J10" s="9"/>
      <c r="K10" s="9">
        <f>'Operational Income'!L10</f>
        <v>1963500000</v>
      </c>
      <c r="L10" s="9"/>
    </row>
    <row r="11" spans="1:22" outlineLevel="3" x14ac:dyDescent="0.2">
      <c r="A11" s="53" t="s">
        <v>18</v>
      </c>
      <c r="B11" s="54"/>
      <c r="C11" s="54"/>
      <c r="D11" s="54" t="s">
        <v>75</v>
      </c>
      <c r="E11" s="55"/>
      <c r="F11" s="9"/>
      <c r="G11" s="9"/>
      <c r="H11" s="9"/>
      <c r="I11" s="9"/>
      <c r="J11" s="9"/>
      <c r="K11" s="9"/>
      <c r="L11" s="9"/>
      <c r="V11" s="9">
        <f>'Operational Income'!I10</f>
        <v>225696250000</v>
      </c>
    </row>
    <row r="12" spans="1:22" outlineLevel="3" x14ac:dyDescent="0.2">
      <c r="A12" s="53" t="s">
        <v>19</v>
      </c>
      <c r="B12" s="54"/>
      <c r="C12" s="54"/>
      <c r="D12" s="54" t="s">
        <v>21</v>
      </c>
      <c r="E12" s="55"/>
      <c r="F12" s="9">
        <f>'Operational Income'!C10</f>
        <v>142807679671.80002</v>
      </c>
      <c r="G12" s="9">
        <f>'Operational Income'!G10</f>
        <v>227149617140.75</v>
      </c>
      <c r="H12" s="26">
        <f>'Operational Income'!I10</f>
        <v>225696250000</v>
      </c>
      <c r="I12" s="9">
        <f>'Operational Income'!J10</f>
        <v>57460000000</v>
      </c>
      <c r="J12" s="9">
        <f>'Operational Income'!K10+'Operational Income'!K11</f>
        <v>0</v>
      </c>
      <c r="K12" s="9">
        <f>'Operational Income'!M10</f>
        <v>187297500000</v>
      </c>
      <c r="L12" s="9">
        <f>'Operational Income'!N10</f>
        <v>0</v>
      </c>
    </row>
    <row r="13" spans="1:22" outlineLevel="3" x14ac:dyDescent="0.2">
      <c r="A13" s="53" t="s">
        <v>20</v>
      </c>
      <c r="B13" s="54"/>
      <c r="C13" s="54"/>
      <c r="D13" s="54" t="s">
        <v>76</v>
      </c>
      <c r="E13" s="55"/>
      <c r="F13" s="9"/>
      <c r="G13" s="9"/>
      <c r="H13" s="9"/>
      <c r="I13" s="9"/>
      <c r="J13" s="9"/>
      <c r="K13" s="9"/>
      <c r="L13" s="9"/>
    </row>
    <row r="14" spans="1:22" outlineLevel="3" x14ac:dyDescent="0.2">
      <c r="A14" s="53" t="s">
        <v>73</v>
      </c>
      <c r="B14" s="54"/>
      <c r="C14" s="54"/>
      <c r="D14" s="54" t="s">
        <v>82</v>
      </c>
      <c r="E14" s="55"/>
      <c r="F14" s="9"/>
      <c r="G14" s="9"/>
      <c r="H14" s="9"/>
      <c r="I14" s="9"/>
      <c r="J14" s="9"/>
      <c r="K14" s="9"/>
      <c r="L14" s="9"/>
    </row>
    <row r="15" spans="1:22" outlineLevel="3" x14ac:dyDescent="0.2">
      <c r="A15" s="53" t="s">
        <v>78</v>
      </c>
      <c r="B15" s="54"/>
      <c r="C15" s="54"/>
      <c r="D15" s="54" t="s">
        <v>79</v>
      </c>
      <c r="E15" s="55"/>
      <c r="F15" s="9"/>
      <c r="G15" s="9"/>
      <c r="H15" s="9"/>
      <c r="I15" s="9"/>
      <c r="J15" s="9"/>
      <c r="K15" s="9"/>
      <c r="L15" s="9"/>
    </row>
    <row r="16" spans="1:22" outlineLevel="3" x14ac:dyDescent="0.2">
      <c r="A16" s="53" t="s">
        <v>80</v>
      </c>
      <c r="B16" s="54"/>
      <c r="C16" s="54"/>
      <c r="D16" s="54" t="s">
        <v>83</v>
      </c>
      <c r="E16" s="55"/>
      <c r="F16" s="9"/>
      <c r="G16" s="9"/>
      <c r="H16" s="9"/>
      <c r="I16" s="9"/>
      <c r="J16" s="9"/>
      <c r="K16" s="9"/>
      <c r="L16" s="9"/>
    </row>
    <row r="17" spans="1:12" outlineLevel="3" x14ac:dyDescent="0.2">
      <c r="A17" s="53" t="s">
        <v>81</v>
      </c>
      <c r="B17" s="54"/>
      <c r="C17" s="54"/>
      <c r="D17" s="54" t="s">
        <v>30</v>
      </c>
      <c r="E17" s="55"/>
      <c r="F17" s="9"/>
      <c r="G17" s="9"/>
      <c r="H17" s="9"/>
      <c r="I17" s="9"/>
      <c r="J17" s="9"/>
      <c r="K17" s="9"/>
      <c r="L17" s="9"/>
    </row>
    <row r="18" spans="1:12" outlineLevel="2" x14ac:dyDescent="0.2">
      <c r="A18" s="58">
        <v>2.2000000000000002</v>
      </c>
      <c r="B18" s="59"/>
      <c r="C18" s="59" t="s">
        <v>5</v>
      </c>
      <c r="D18" s="59"/>
      <c r="E18" s="65"/>
      <c r="F18" s="12">
        <f>SUM(F19:F25)</f>
        <v>22471246625.799999</v>
      </c>
      <c r="G18" s="12">
        <f t="shared" ref="G18:L18" si="4">SUM(G19:G25)</f>
        <v>52676108287.099998</v>
      </c>
      <c r="H18" s="12">
        <f t="shared" si="4"/>
        <v>26632500000</v>
      </c>
      <c r="I18" s="12">
        <f t="shared" si="4"/>
        <v>6760000000</v>
      </c>
      <c r="J18" s="12">
        <f t="shared" si="4"/>
        <v>0</v>
      </c>
      <c r="K18" s="12">
        <f t="shared" si="4"/>
        <v>22392000000</v>
      </c>
      <c r="L18" s="12">
        <f t="shared" si="4"/>
        <v>0</v>
      </c>
    </row>
    <row r="19" spans="1:12" outlineLevel="3" x14ac:dyDescent="0.2">
      <c r="A19" s="53" t="s">
        <v>11</v>
      </c>
      <c r="B19" s="54"/>
      <c r="C19" s="54"/>
      <c r="D19" s="54" t="s">
        <v>85</v>
      </c>
      <c r="E19" s="55"/>
      <c r="F19" s="9"/>
      <c r="G19" s="9"/>
      <c r="H19" s="9"/>
      <c r="I19" s="9"/>
      <c r="J19" s="9"/>
      <c r="K19" s="9"/>
      <c r="L19" s="9"/>
    </row>
    <row r="20" spans="1:12" outlineLevel="3" x14ac:dyDescent="0.2">
      <c r="A20" s="53" t="s">
        <v>12</v>
      </c>
      <c r="B20" s="54"/>
      <c r="C20" s="54"/>
      <c r="D20" s="54" t="s">
        <v>3</v>
      </c>
      <c r="E20" s="55"/>
      <c r="F20" s="9"/>
      <c r="G20" s="9"/>
      <c r="H20" s="9"/>
      <c r="I20" s="9"/>
      <c r="J20" s="9"/>
      <c r="K20" s="9"/>
      <c r="L20" s="9"/>
    </row>
    <row r="21" spans="1:12" outlineLevel="3" x14ac:dyDescent="0.2">
      <c r="A21" s="53" t="s">
        <v>13</v>
      </c>
      <c r="B21" s="54"/>
      <c r="C21" s="54"/>
      <c r="D21" s="54" t="s">
        <v>84</v>
      </c>
      <c r="E21" s="55"/>
      <c r="F21" s="9"/>
      <c r="G21" s="9"/>
      <c r="H21" s="9"/>
      <c r="I21" s="9"/>
      <c r="J21" s="9"/>
      <c r="K21" s="9"/>
      <c r="L21" s="9"/>
    </row>
    <row r="22" spans="1:12" outlineLevel="3" x14ac:dyDescent="0.2">
      <c r="A22" s="53" t="s">
        <v>31</v>
      </c>
      <c r="B22" s="54"/>
      <c r="C22" s="54"/>
      <c r="D22" s="54" t="s">
        <v>86</v>
      </c>
      <c r="E22" s="55"/>
      <c r="F22" s="9"/>
      <c r="G22" s="9"/>
      <c r="H22" s="9"/>
      <c r="I22" s="9"/>
      <c r="J22" s="9"/>
      <c r="K22" s="9"/>
      <c r="L22" s="9"/>
    </row>
    <row r="23" spans="1:12" outlineLevel="3" x14ac:dyDescent="0.2">
      <c r="A23" s="53" t="s">
        <v>87</v>
      </c>
      <c r="B23" s="54"/>
      <c r="C23" s="54"/>
      <c r="D23" s="54" t="s">
        <v>6</v>
      </c>
      <c r="E23" s="55"/>
      <c r="F23" s="9"/>
      <c r="G23" s="9">
        <v>24000000000</v>
      </c>
      <c r="H23" s="9"/>
      <c r="I23" s="9"/>
      <c r="J23" s="9"/>
      <c r="K23" s="9"/>
      <c r="L23" s="9"/>
    </row>
    <row r="24" spans="1:12" outlineLevel="3" x14ac:dyDescent="0.2">
      <c r="A24" s="53" t="s">
        <v>88</v>
      </c>
      <c r="B24" s="54"/>
      <c r="C24" s="54"/>
      <c r="D24" s="54" t="s">
        <v>22</v>
      </c>
      <c r="E24" s="55"/>
      <c r="F24" s="9">
        <f>'Operational Income'!D11+'Operational Income'!C11</f>
        <v>22471246625.799999</v>
      </c>
      <c r="G24" s="9">
        <f>'Operational Income'!E11+'Operational Income'!F11+'Operational Income'!G11</f>
        <v>28676108287.099998</v>
      </c>
      <c r="H24" s="9">
        <f>'Operational Income'!H11+'Operational Income'!I11</f>
        <v>26632500000</v>
      </c>
      <c r="I24" s="9">
        <f>'Operational Income'!J11</f>
        <v>6760000000</v>
      </c>
      <c r="J24" s="9"/>
      <c r="K24" s="9">
        <f>'Operational Income'!L11+'Operational Income'!M11</f>
        <v>22392000000</v>
      </c>
      <c r="L24" s="9"/>
    </row>
    <row r="25" spans="1:12" outlineLevel="3" x14ac:dyDescent="0.2">
      <c r="A25" s="53" t="s">
        <v>88</v>
      </c>
      <c r="B25" s="54"/>
      <c r="C25" s="54"/>
      <c r="D25" s="54" t="s">
        <v>29</v>
      </c>
      <c r="E25" s="55"/>
      <c r="F25" s="9"/>
      <c r="G25" s="9"/>
      <c r="H25" s="9"/>
      <c r="I25" s="9"/>
      <c r="J25" s="9"/>
      <c r="K25" s="9"/>
      <c r="L25" s="9"/>
    </row>
    <row r="26" spans="1:12" outlineLevel="1" x14ac:dyDescent="0.2">
      <c r="A26" s="4">
        <v>3</v>
      </c>
      <c r="B26" s="69" t="s">
        <v>7</v>
      </c>
      <c r="C26" s="69"/>
      <c r="D26" s="69"/>
      <c r="E26" s="70"/>
      <c r="F26" s="10">
        <f t="shared" ref="F26:L26" si="5">F27+F36</f>
        <v>83351294123.800003</v>
      </c>
      <c r="G26" s="10">
        <f t="shared" si="5"/>
        <v>106457132036.10001</v>
      </c>
      <c r="H26" s="10">
        <f t="shared" si="5"/>
        <v>184132500000</v>
      </c>
      <c r="I26" s="10">
        <f t="shared" si="5"/>
        <v>32420000000</v>
      </c>
      <c r="J26" s="10">
        <f t="shared" si="5"/>
        <v>65876000000</v>
      </c>
      <c r="K26" s="10">
        <f t="shared" si="5"/>
        <v>22392000000</v>
      </c>
      <c r="L26" s="10">
        <f t="shared" si="5"/>
        <v>15480000000</v>
      </c>
    </row>
    <row r="27" spans="1:12" outlineLevel="2" x14ac:dyDescent="0.2">
      <c r="A27" s="60">
        <v>3.1</v>
      </c>
      <c r="B27" s="56"/>
      <c r="C27" s="56" t="s">
        <v>25</v>
      </c>
      <c r="D27" s="56"/>
      <c r="E27" s="57"/>
      <c r="F27" s="13">
        <f t="shared" ref="F27:L27" si="6">SUM(F28:F35)</f>
        <v>41560047498</v>
      </c>
      <c r="G27" s="13">
        <f t="shared" si="6"/>
        <v>77560023749</v>
      </c>
      <c r="H27" s="13">
        <f t="shared" si="6"/>
        <v>151500000000</v>
      </c>
      <c r="I27" s="13">
        <f t="shared" si="6"/>
        <v>15350000000</v>
      </c>
      <c r="J27" s="13">
        <f t="shared" si="6"/>
        <v>65655000000</v>
      </c>
      <c r="K27" s="13">
        <f t="shared" si="6"/>
        <v>0</v>
      </c>
      <c r="L27" s="13">
        <f t="shared" si="6"/>
        <v>15050000000</v>
      </c>
    </row>
    <row r="28" spans="1:12" outlineLevel="3" x14ac:dyDescent="0.2">
      <c r="A28" s="53" t="s">
        <v>99</v>
      </c>
      <c r="B28" s="54"/>
      <c r="C28" s="54"/>
      <c r="D28" s="54" t="s">
        <v>89</v>
      </c>
      <c r="E28" s="55"/>
      <c r="F28" s="9">
        <f>'خروجی '!I14</f>
        <v>8920000000</v>
      </c>
      <c r="G28" s="9">
        <f>'خروجی '!J14</f>
        <v>280000000</v>
      </c>
      <c r="H28" s="9">
        <f>'خروجی '!K14</f>
        <v>0</v>
      </c>
      <c r="I28" s="9">
        <f>'خروجی '!L14</f>
        <v>4700000000</v>
      </c>
      <c r="J28" s="9">
        <f>'خروجی '!M14</f>
        <v>280000000</v>
      </c>
      <c r="K28" s="9">
        <f>'خروجی '!N14</f>
        <v>0</v>
      </c>
      <c r="L28" s="9">
        <f>'خروجی '!O14</f>
        <v>1600000000</v>
      </c>
    </row>
    <row r="29" spans="1:12" outlineLevel="3" x14ac:dyDescent="0.2">
      <c r="A29" s="53" t="s">
        <v>100</v>
      </c>
      <c r="B29" s="54"/>
      <c r="C29" s="54"/>
      <c r="D29" s="54" t="s">
        <v>90</v>
      </c>
      <c r="E29" s="55"/>
      <c r="F29" s="9"/>
      <c r="G29" s="9"/>
      <c r="H29" s="9"/>
      <c r="I29" s="9"/>
      <c r="J29" s="9"/>
      <c r="K29" s="9"/>
      <c r="L29" s="9"/>
    </row>
    <row r="30" spans="1:12" outlineLevel="3" x14ac:dyDescent="0.2">
      <c r="A30" s="53" t="s">
        <v>101</v>
      </c>
      <c r="B30" s="54"/>
      <c r="C30" s="54"/>
      <c r="D30" s="54" t="s">
        <v>91</v>
      </c>
      <c r="E30" s="55"/>
      <c r="F30" s="9">
        <f>'خروجی '!B14</f>
        <v>32640047498</v>
      </c>
      <c r="G30" s="9">
        <f>'خروجی '!C14</f>
        <v>77280023749</v>
      </c>
      <c r="H30" s="9">
        <f>'خروجی '!D14</f>
        <v>151500000000</v>
      </c>
      <c r="I30" s="9">
        <f>'خروجی '!E14</f>
        <v>10650000000</v>
      </c>
      <c r="J30" s="9">
        <f>'خروجی '!F14</f>
        <v>65375000000</v>
      </c>
      <c r="K30" s="9">
        <f>'خروجی '!G14</f>
        <v>0</v>
      </c>
      <c r="L30" s="9">
        <f>'خروجی '!H14</f>
        <v>13450000000</v>
      </c>
    </row>
    <row r="31" spans="1:12" outlineLevel="3" x14ac:dyDescent="0.2">
      <c r="A31" s="53" t="s">
        <v>102</v>
      </c>
      <c r="B31" s="54"/>
      <c r="C31" s="54"/>
      <c r="D31" s="54" t="s">
        <v>92</v>
      </c>
      <c r="E31" s="55"/>
      <c r="F31" s="9"/>
      <c r="G31" s="9"/>
      <c r="H31" s="9"/>
      <c r="I31" s="9"/>
      <c r="J31" s="9"/>
      <c r="K31" s="9"/>
      <c r="L31" s="9"/>
    </row>
    <row r="32" spans="1:12" outlineLevel="3" x14ac:dyDescent="0.2">
      <c r="A32" s="53" t="s">
        <v>103</v>
      </c>
      <c r="B32" s="54"/>
      <c r="C32" s="54"/>
      <c r="D32" s="54" t="s">
        <v>93</v>
      </c>
      <c r="E32" s="55"/>
      <c r="F32" s="9"/>
      <c r="G32" s="9"/>
      <c r="H32" s="9"/>
      <c r="I32" s="9"/>
      <c r="J32" s="9"/>
      <c r="K32" s="9"/>
      <c r="L32" s="9"/>
    </row>
    <row r="33" spans="1:12" outlineLevel="3" x14ac:dyDescent="0.2">
      <c r="A33" s="53" t="s">
        <v>104</v>
      </c>
      <c r="B33" s="54"/>
      <c r="C33" s="54"/>
      <c r="D33" s="54" t="s">
        <v>94</v>
      </c>
      <c r="E33" s="55"/>
      <c r="F33" s="9"/>
      <c r="G33" s="9"/>
      <c r="H33" s="9"/>
      <c r="I33" s="9"/>
      <c r="J33" s="9"/>
      <c r="K33" s="9"/>
      <c r="L33" s="9"/>
    </row>
    <row r="34" spans="1:12" outlineLevel="3" x14ac:dyDescent="0.2">
      <c r="A34" s="53" t="s">
        <v>105</v>
      </c>
      <c r="B34" s="54"/>
      <c r="C34" s="54"/>
      <c r="D34" s="54" t="s">
        <v>95</v>
      </c>
      <c r="E34" s="55"/>
      <c r="F34" s="9"/>
      <c r="G34" s="9"/>
      <c r="H34" s="9"/>
      <c r="I34" s="9"/>
      <c r="J34" s="9"/>
      <c r="K34" s="9"/>
      <c r="L34" s="9"/>
    </row>
    <row r="35" spans="1:12" outlineLevel="3" x14ac:dyDescent="0.2">
      <c r="A35" s="53" t="s">
        <v>106</v>
      </c>
      <c r="B35" s="54"/>
      <c r="C35" s="54"/>
      <c r="D35" s="54" t="s">
        <v>23</v>
      </c>
      <c r="E35" s="55"/>
      <c r="F35" s="9"/>
      <c r="G35" s="9"/>
      <c r="H35" s="9"/>
      <c r="I35" s="9"/>
      <c r="J35" s="9"/>
      <c r="K35" s="9"/>
      <c r="L35" s="9"/>
    </row>
    <row r="36" spans="1:12" outlineLevel="2" x14ac:dyDescent="0.2">
      <c r="A36" s="60">
        <v>3.2</v>
      </c>
      <c r="B36" s="56"/>
      <c r="C36" s="56" t="s">
        <v>24</v>
      </c>
      <c r="D36" s="56"/>
      <c r="E36" s="57"/>
      <c r="F36" s="13">
        <f t="shared" ref="F36:L36" si="7">SUM(F37:F44)</f>
        <v>41791246625.800003</v>
      </c>
      <c r="G36" s="13">
        <f t="shared" si="7"/>
        <v>28897108287.099998</v>
      </c>
      <c r="H36" s="13">
        <f t="shared" si="7"/>
        <v>32632500000</v>
      </c>
      <c r="I36" s="13">
        <f t="shared" si="7"/>
        <v>17070000000</v>
      </c>
      <c r="J36" s="13">
        <f t="shared" si="7"/>
        <v>221000000</v>
      </c>
      <c r="K36" s="13">
        <f t="shared" si="7"/>
        <v>22392000000</v>
      </c>
      <c r="L36" s="13">
        <f t="shared" si="7"/>
        <v>430000000</v>
      </c>
    </row>
    <row r="37" spans="1:12" outlineLevel="3" x14ac:dyDescent="0.2">
      <c r="A37" s="53" t="s">
        <v>107</v>
      </c>
      <c r="B37" s="54"/>
      <c r="C37" s="54"/>
      <c r="D37" s="54" t="s">
        <v>26</v>
      </c>
      <c r="E37" s="55"/>
      <c r="F37" s="9">
        <f>'خروجی '!P4+'خروجی '!P5+'خروجی '!P6+'خروجی '!P7+'خروجی '!P11</f>
        <v>15320000000</v>
      </c>
      <c r="G37" s="9"/>
      <c r="H37" s="9"/>
      <c r="I37" s="9">
        <f>'خروجی '!S4+'خروجی '!S5+'خروجی '!S6</f>
        <v>6810000000</v>
      </c>
      <c r="J37" s="9"/>
      <c r="K37" s="9"/>
      <c r="L37" s="9">
        <f>'خروجی '!V5+'خروجی '!V6</f>
        <v>430000000</v>
      </c>
    </row>
    <row r="38" spans="1:12" outlineLevel="3" x14ac:dyDescent="0.2">
      <c r="A38" s="53" t="s">
        <v>108</v>
      </c>
      <c r="B38" s="54"/>
      <c r="C38" s="54"/>
      <c r="D38" s="54" t="s">
        <v>113</v>
      </c>
      <c r="E38" s="55"/>
      <c r="F38" s="9"/>
      <c r="G38" s="9"/>
      <c r="H38" s="9"/>
      <c r="I38" s="9"/>
      <c r="J38" s="9"/>
      <c r="K38" s="9"/>
      <c r="L38" s="9"/>
    </row>
    <row r="39" spans="1:12" outlineLevel="3" x14ac:dyDescent="0.2">
      <c r="A39" s="53" t="s">
        <v>109</v>
      </c>
      <c r="B39" s="54"/>
      <c r="C39" s="54"/>
      <c r="D39" s="54" t="s">
        <v>97</v>
      </c>
      <c r="E39" s="55"/>
      <c r="F39" s="9"/>
      <c r="G39" s="9"/>
      <c r="H39" s="9"/>
      <c r="I39" s="9"/>
      <c r="J39" s="9"/>
      <c r="K39" s="9"/>
      <c r="L39" s="9"/>
    </row>
    <row r="40" spans="1:12" outlineLevel="3" x14ac:dyDescent="0.2">
      <c r="A40" s="53" t="s">
        <v>110</v>
      </c>
      <c r="B40" s="54"/>
      <c r="C40" s="54"/>
      <c r="D40" s="54" t="s">
        <v>96</v>
      </c>
      <c r="E40" s="55"/>
      <c r="F40" s="9"/>
      <c r="G40" s="9"/>
      <c r="H40" s="9"/>
      <c r="I40" s="9"/>
      <c r="J40" s="9"/>
      <c r="K40" s="9"/>
      <c r="L40" s="9"/>
    </row>
    <row r="41" spans="1:12" outlineLevel="3" x14ac:dyDescent="0.2">
      <c r="A41" s="53" t="s">
        <v>111</v>
      </c>
      <c r="B41" s="54"/>
      <c r="C41" s="54"/>
      <c r="D41" s="54" t="s">
        <v>98</v>
      </c>
      <c r="E41" s="55"/>
      <c r="F41" s="9"/>
      <c r="G41" s="9"/>
      <c r="H41" s="9"/>
      <c r="I41" s="9"/>
      <c r="J41" s="9"/>
      <c r="K41" s="9"/>
      <c r="L41" s="9"/>
    </row>
    <row r="42" spans="1:12" outlineLevel="3" x14ac:dyDescent="0.2">
      <c r="A42" s="53" t="s">
        <v>112</v>
      </c>
      <c r="B42" s="54"/>
      <c r="C42" s="54"/>
      <c r="D42" s="54" t="s">
        <v>22</v>
      </c>
      <c r="E42" s="55"/>
      <c r="F42" s="9">
        <f>F24</f>
        <v>22471246625.799999</v>
      </c>
      <c r="G42" s="9">
        <f t="shared" ref="G42:L42" si="8">G24</f>
        <v>28676108287.099998</v>
      </c>
      <c r="H42" s="9">
        <f t="shared" si="8"/>
        <v>26632500000</v>
      </c>
      <c r="I42" s="9">
        <f t="shared" si="8"/>
        <v>6760000000</v>
      </c>
      <c r="J42" s="9">
        <f t="shared" si="8"/>
        <v>0</v>
      </c>
      <c r="K42" s="9">
        <f t="shared" si="8"/>
        <v>22392000000</v>
      </c>
      <c r="L42" s="9">
        <f t="shared" si="8"/>
        <v>0</v>
      </c>
    </row>
    <row r="43" spans="1:12" outlineLevel="3" x14ac:dyDescent="0.2">
      <c r="A43" s="53" t="s">
        <v>114</v>
      </c>
      <c r="B43" s="54"/>
      <c r="C43" s="54"/>
      <c r="D43" s="54" t="s">
        <v>27</v>
      </c>
      <c r="E43" s="55"/>
      <c r="F43" s="9">
        <f>'خروجی '!P12+'خروجی '!P13</f>
        <v>4000000000</v>
      </c>
      <c r="G43" s="9">
        <f>'خروجی '!Q9</f>
        <v>221000000</v>
      </c>
      <c r="H43" s="9">
        <f>'خروجی '!R12</f>
        <v>6000000000</v>
      </c>
      <c r="I43" s="9">
        <f>'خروجی '!S13</f>
        <v>3500000000</v>
      </c>
      <c r="J43" s="9">
        <f>'خروجی '!T9</f>
        <v>221000000</v>
      </c>
      <c r="K43" s="9"/>
      <c r="L43" s="9"/>
    </row>
    <row r="44" spans="1:12" outlineLevel="3" x14ac:dyDescent="0.2">
      <c r="A44" s="53" t="s">
        <v>116</v>
      </c>
      <c r="B44" s="54"/>
      <c r="C44" s="54"/>
      <c r="D44" s="54" t="s">
        <v>28</v>
      </c>
      <c r="E44" s="55"/>
      <c r="F44" s="9"/>
      <c r="G44" s="9"/>
      <c r="H44" s="9"/>
      <c r="I44" s="9"/>
      <c r="J44" s="9"/>
      <c r="K44" s="9"/>
      <c r="L44" s="9"/>
    </row>
  </sheetData>
  <mergeCells count="84">
    <mergeCell ref="A44:C44"/>
    <mergeCell ref="D44:E44"/>
    <mergeCell ref="A20:C20"/>
    <mergeCell ref="D20:E20"/>
    <mergeCell ref="A31:C31"/>
    <mergeCell ref="D31:E31"/>
    <mergeCell ref="A32:C32"/>
    <mergeCell ref="A35:C35"/>
    <mergeCell ref="D35:E35"/>
    <mergeCell ref="A37:C37"/>
    <mergeCell ref="D37:E37"/>
    <mergeCell ref="A39:C39"/>
    <mergeCell ref="A24:C24"/>
    <mergeCell ref="D24:E24"/>
    <mergeCell ref="A23:C23"/>
    <mergeCell ref="D23:E23"/>
    <mergeCell ref="A17:C17"/>
    <mergeCell ref="C18:E18"/>
    <mergeCell ref="A41:C41"/>
    <mergeCell ref="D41:E41"/>
    <mergeCell ref="A38:C38"/>
    <mergeCell ref="D38:E38"/>
    <mergeCell ref="A42:C42"/>
    <mergeCell ref="D42:E42"/>
    <mergeCell ref="A19:C19"/>
    <mergeCell ref="D19:E19"/>
    <mergeCell ref="A21:C21"/>
    <mergeCell ref="D21:E21"/>
    <mergeCell ref="A22:C22"/>
    <mergeCell ref="D22:E22"/>
    <mergeCell ref="G2:I2"/>
    <mergeCell ref="A1:L1"/>
    <mergeCell ref="A4:E4"/>
    <mergeCell ref="J2:L2"/>
    <mergeCell ref="A43:C43"/>
    <mergeCell ref="D43:E43"/>
    <mergeCell ref="A25:C25"/>
    <mergeCell ref="D25:E25"/>
    <mergeCell ref="D28:E28"/>
    <mergeCell ref="A29:C29"/>
    <mergeCell ref="D29:E29"/>
    <mergeCell ref="B26:E26"/>
    <mergeCell ref="A27:B27"/>
    <mergeCell ref="C27:E27"/>
    <mergeCell ref="D39:E39"/>
    <mergeCell ref="A5:B5"/>
    <mergeCell ref="B2:E3"/>
    <mergeCell ref="A2:A3"/>
    <mergeCell ref="C5:E5"/>
    <mergeCell ref="A8:C8"/>
    <mergeCell ref="D8:E8"/>
    <mergeCell ref="B6:E6"/>
    <mergeCell ref="C7:E7"/>
    <mergeCell ref="A7:B7"/>
    <mergeCell ref="A16:C16"/>
    <mergeCell ref="D16:E16"/>
    <mergeCell ref="A40:C40"/>
    <mergeCell ref="D40:E40"/>
    <mergeCell ref="A34:C34"/>
    <mergeCell ref="D34:E34"/>
    <mergeCell ref="A33:C33"/>
    <mergeCell ref="D33:E33"/>
    <mergeCell ref="D32:E32"/>
    <mergeCell ref="A28:C28"/>
    <mergeCell ref="C36:E36"/>
    <mergeCell ref="A30:C30"/>
    <mergeCell ref="A18:B18"/>
    <mergeCell ref="A36:B36"/>
    <mergeCell ref="D30:E30"/>
    <mergeCell ref="D17:E17"/>
    <mergeCell ref="A12:C12"/>
    <mergeCell ref="A9:C9"/>
    <mergeCell ref="D9:E9"/>
    <mergeCell ref="A15:C15"/>
    <mergeCell ref="D15:E15"/>
    <mergeCell ref="D14:E14"/>
    <mergeCell ref="D10:E10"/>
    <mergeCell ref="D11:E11"/>
    <mergeCell ref="D12:E12"/>
    <mergeCell ref="A10:C10"/>
    <mergeCell ref="A11:C11"/>
    <mergeCell ref="A13:C13"/>
    <mergeCell ref="D13:E13"/>
    <mergeCell ref="A14:C14"/>
  </mergeCells>
  <phoneticPr fontId="3" type="noConversion"/>
  <conditionalFormatting sqref="F4:L5">
    <cfRule type="cellIs" dxfId="0" priority="1" operator="lessThan">
      <formula>0</formula>
    </cfRule>
  </conditionalFormatting>
  <pageMargins left="0.25" right="0.25" top="0.47499999999999998" bottom="0.34166666666666667" header="0.3" footer="0.3"/>
  <pageSetup paperSize="9" scale="70" orientation="landscape" r:id="rId1"/>
  <rowBreaks count="1" manualBreakCount="1">
    <brk id="2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Operational Income (2)</vt:lpstr>
      <vt:lpstr>خروجی </vt:lpstr>
      <vt:lpstr>Operational Income</vt:lpstr>
      <vt:lpstr>Cash Flow</vt:lpstr>
      <vt:lpstr>'Cash Flow'!Print_Area</vt:lpstr>
      <vt:lpstr>'Operational Income'!Print_Area</vt:lpstr>
      <vt:lpstr>'Operational Income (2)'!Print_Area</vt:lpstr>
      <vt:lpstr>'خروجی '!Print_Area</vt:lpstr>
      <vt:lpstr>'Cash Flow'!Print_Titles</vt:lpstr>
      <vt:lpstr>'Operational Income'!Print_Titles</vt:lpstr>
      <vt:lpstr>'Operational Income (2)'!Print_Titles</vt:lpstr>
      <vt:lpstr>'خروجی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Rafei</dc:creator>
  <cp:lastModifiedBy>Mazyar</cp:lastModifiedBy>
  <cp:lastPrinted>2025-05-26T06:30:16Z</cp:lastPrinted>
  <dcterms:created xsi:type="dcterms:W3CDTF">2015-06-05T18:17:20Z</dcterms:created>
  <dcterms:modified xsi:type="dcterms:W3CDTF">2025-10-04T08:54:02Z</dcterms:modified>
</cp:coreProperties>
</file>